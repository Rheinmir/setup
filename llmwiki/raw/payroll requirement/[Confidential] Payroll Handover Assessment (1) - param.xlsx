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66925"/>
  <mc:AlternateContent xmlns:mc="http://schemas.openxmlformats.org/markup-compatibility/2006">
    <mc:Choice Requires="x15">
      <x15ac:absPath xmlns:x15ac="http://schemas.microsoft.com/office/spreadsheetml/2010/11/ac" url="/Users/giatran/orca/projects/payrol/llmwiki/raw/"/>
    </mc:Choice>
  </mc:AlternateContent>
  <xr:revisionPtr revIDLastSave="0" documentId="13_ncr:1_{54A8470D-717A-7545-A39B-85D8F058EEBB}" xr6:coauthVersionLast="47" xr6:coauthVersionMax="47" xr10:uidLastSave="{00000000-0000-0000-0000-000000000000}"/>
  <bookViews>
    <workbookView xWindow="0" yWindow="500" windowWidth="37520" windowHeight="21100" firstSheet="1" activeTab="5" xr2:uid="{00000000-000D-0000-FFFF-FFFF00000000}"/>
  </bookViews>
  <sheets>
    <sheet name="Assessment guide" sheetId="5" r:id="rId1"/>
    <sheet name="General" sheetId="1" r:id="rId2"/>
    <sheet name="Resources" sheetId="3" r:id="rId3"/>
    <sheet name="Sys flow_Payroll" sheetId="11" r:id="rId4"/>
    <sheet name="Allowance Rule + Except" sheetId="14" r:id="rId5"/>
    <sheet name="Payroll structure" sheetId="12" r:id="rId6"/>
    <sheet name="Payroll Mar 2026" sheetId="13" r:id="rId7"/>
    <sheet name="Payslip template" sheetId="15" r:id="rId8"/>
    <sheet name="Master data" sheetId="4" r:id="rId9"/>
    <sheet name="Time Tracking Rule" sheetId="10" r:id="rId10"/>
    <sheet name="References" sheetId="7" r:id="rId11"/>
    <sheet name="Handover Prerequisites" sheetId="2" r:id="rId12"/>
  </sheets>
  <definedNames>
    <definedName name="_xlnm._FilterDatabase" localSheetId="5" hidden="1">'Payroll structure'!$A$1:$I$1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Hong, Nguyen Le</author>
  </authors>
  <commentList>
    <comment ref="AC6" authorId="0" shapeId="0" xr:uid="{8AC716A7-EC4C-44C3-8198-792ADCD1BD1C}">
      <text>
        <r>
          <rPr>
            <b/>
            <sz val="10"/>
            <color indexed="81"/>
            <rFont val="Lexend Deca Light"/>
          </rPr>
          <t>Hong, Nguyen Le:</t>
        </r>
        <r>
          <rPr>
            <sz val="10"/>
            <color indexed="81"/>
            <rFont val="Lexend Deca Light"/>
          </rPr>
          <t xml:space="preserve">
Thêm loại ngày nghỉ mới theo Nội quy lao động ban hành 07/2025.</t>
        </r>
      </text>
    </comment>
    <comment ref="AT6" authorId="0" shapeId="0" xr:uid="{CB8995DD-68C6-4EF4-99E0-B2F13DDC509C}">
      <text>
        <r>
          <rPr>
            <b/>
            <sz val="11"/>
            <color indexed="81"/>
            <rFont val="Lexend Deca Light"/>
          </rPr>
          <t>Hong, Nguyen Le:</t>
        </r>
        <r>
          <rPr>
            <sz val="11"/>
            <color indexed="81"/>
            <rFont val="Lexend Deca Light"/>
          </rPr>
          <t xml:space="preserve">
1. PC sinh hoạt phí Vinfast_India
2. PC hỗ trợ Bà Nà Hills
3. Special Allowance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<sst xmlns="http://schemas.openxmlformats.org/spreadsheetml/2006/main" count="1858" uniqueCount="1240">
  <si>
    <t>The Scale</t>
  </si>
  <si>
    <t>Priority Weight — High / Med / Low</t>
  </si>
  <si>
    <t>Score</t>
  </si>
  <si>
    <t>Label</t>
  </si>
  <si>
    <t>Meaning</t>
  </si>
  <si>
    <t>Priority</t>
  </si>
  <si>
    <t>Weight</t>
  </si>
  <si>
    <t>❌ Not Exists</t>
  </si>
  <si>
    <t>Nothing provided, no evidence it exists</t>
  </si>
  <si>
    <t>🔴 High</t>
  </si>
  <si>
    <t>Handover cannot proceed without this. If score ≤ 2, it's a hard blocker.</t>
  </si>
  <si>
    <t>⚠️ Incomplete</t>
  </si>
  <si>
    <t>Partially exists but missing critical parts</t>
  </si>
  <si>
    <t>🟡 Med</t>
  </si>
  <si>
    <t>Important but recoverable. If score ≤ 2, flag it and resolve in Sprint 0.</t>
  </si>
  <si>
    <t>🔶 Acceptable</t>
  </si>
  <si>
    <t>Exists and understandable, but needs cleanup</t>
  </si>
  <si>
    <t>🟢 Low</t>
  </si>
  <si>
    <t>Nice to have. If missing, document it as a risk and move on.</t>
  </si>
  <si>
    <t>✅ Good</t>
  </si>
  <si>
    <t>Clear, complete, usable by a new team member</t>
  </si>
  <si>
    <t>🌟 Excellent</t>
  </si>
  <si>
    <t>Thorough, verified, and signed off by reviewer</t>
  </si>
  <si>
    <t>Minimum Score to Proceed with Handover</t>
  </si>
  <si>
    <t>Section</t>
  </si>
  <si>
    <t>Min. Score to Accept</t>
  </si>
  <si>
    <t>Logic</t>
  </si>
  <si>
    <t>Section 1 — Knowledge Capture</t>
  </si>
  <si>
    <t>Average ≥ 3.5</t>
  </si>
  <si>
    <t>If key knowledge items score 1–2, the current dev hasn't transferred enough</t>
  </si>
  <si>
    <t>Section 2 — Documents</t>
  </si>
  <si>
    <t>Average ≥ 3.0</t>
  </si>
  <si>
    <t>At least 3 of 4 docs must exist in usable form</t>
  </si>
  <si>
    <t>Section 3 — Gap Analysis</t>
  </si>
  <si>
    <t>All actions defined</t>
  </si>
  <si>
    <t>Every gap must have a named owner and timeline, not just an action statement</t>
  </si>
  <si>
    <t>Decision Gate</t>
  </si>
  <si>
    <t>Add up scores across all items and use this to make the go/no-go call:</t>
  </si>
  <si>
    <t>Total Average</t>
  </si>
  <si>
    <t>Decision</t>
  </si>
  <si>
    <t>What to Do</t>
  </si>
  <si>
    <t>4.0 – 5.0</t>
  </si>
  <si>
    <t>✅ Proceed</t>
  </si>
  <si>
    <t>Handover can begin formally</t>
  </si>
  <si>
    <t>3.0 – 3.9</t>
  </si>
  <si>
    <t>🔶 Proceed with Conditions</t>
  </si>
  <si>
    <t>Accept but flag the low-scoring items as blockers to resolve in Sprint 0</t>
  </si>
  <si>
    <t>2.0 – 2.9</t>
  </si>
  <si>
    <t>⚠️ Hold</t>
  </si>
  <si>
    <t>Do not accept until critical items reach score 3+</t>
  </si>
  <si>
    <t>Below 2.0</t>
  </si>
  <si>
    <t>❌ Reject</t>
  </si>
  <si>
    <t>Handover is not ready — current dev must do more work first</t>
  </si>
  <si>
    <t>Project Name:</t>
  </si>
  <si>
    <t>Payroll CTD</t>
  </si>
  <si>
    <t>Start Date:</t>
  </si>
  <si>
    <t>Sponsor:</t>
  </si>
  <si>
    <t>CTD</t>
  </si>
  <si>
    <t>End Date:</t>
  </si>
  <si>
    <t>Project Manager:</t>
  </si>
  <si>
    <t>Thoai, Dao Duy</t>
  </si>
  <si>
    <t>Current Stage:</t>
  </si>
  <si>
    <t>Current Tenant Build:</t>
  </si>
  <si>
    <t>UAT</t>
  </si>
  <si>
    <t>Overall Project Status:</t>
  </si>
  <si>
    <t>AMBER</t>
  </si>
  <si>
    <t>STREAM-WISE STATUS SUMMARY</t>
  </si>
  <si>
    <t>Workstream</t>
  </si>
  <si>
    <t>Total Items/Scope</t>
  </si>
  <si>
    <t>Completed</t>
  </si>
  <si>
    <t>In Progress</t>
  </si>
  <si>
    <t>% Complete</t>
  </si>
  <si>
    <t>Functional</t>
  </si>
  <si>
    <t>Data</t>
  </si>
  <si>
    <t>Integrations</t>
  </si>
  <si>
    <t>Infrastructure</t>
  </si>
  <si>
    <t>System</t>
  </si>
  <si>
    <t>URL</t>
  </si>
  <si>
    <t>Access info</t>
  </si>
  <si>
    <t>SFTP</t>
  </si>
  <si>
    <t>PROD</t>
  </si>
  <si>
    <t>PROJECT CRITICAL RISKS &amp; ISSUES LOG</t>
  </si>
  <si>
    <t>Risk/Issue ID</t>
  </si>
  <si>
    <t>Description</t>
  </si>
  <si>
    <t>Impact Level</t>
  </si>
  <si>
    <t>Mitigation Strategy</t>
  </si>
  <si>
    <t>Owner</t>
  </si>
  <si>
    <t>Workday APIs &amp; RaaS</t>
  </si>
  <si>
    <t>No</t>
  </si>
  <si>
    <t>Name</t>
  </si>
  <si>
    <t>Type</t>
  </si>
  <si>
    <t>Owner &amp; URL</t>
  </si>
  <si>
    <t>Status</t>
  </si>
  <si>
    <t>Payroll Use / Reason</t>
  </si>
  <si>
    <t>Get_Workers (bulk)</t>
  </si>
  <si>
    <t>SOAP HR v44.1</t>
  </si>
  <si>
    <t>/ccx/service/{tenant}/Human_Resources/v44.1 op Get_Workers</t>
  </si>
  <si>
    <t>🟢 Synced — 4,179 rows</t>
  </si>
  <si>
    <t>Employee roster, org, comp, dependents, events</t>
  </si>
  <si>
    <t>Get_Workers (single)</t>
  </si>
  <si>
    <t>🟢 Working</t>
  </si>
  <si>
    <t>Single employee on demand</t>
  </si>
  <si>
    <t>Get_Workers (+comp)</t>
  </si>
  <si>
    <t>/ccx/service/{tenant}/Human_Resources/v44.1 op Get_Workers w/ Include_Compensation=true</t>
  </si>
  <si>
    <t>🟢 Synced — 8,581 rows</t>
  </si>
  <si>
    <t>Salary + allowance plans per worker</t>
  </si>
  <si>
    <t>Get_Workers (+dependents)</t>
  </si>
  <si>
    <t>/ccx/service/{tenant}/Human_Resources/v44.1 op Get_Workers w/ Include_Related_Persons=true</t>
  </si>
  <si>
    <t>🟢 Synced — 9,154 rows</t>
  </si>
  <si>
    <t>Dependent records</t>
  </si>
  <si>
    <t>Get_Workers (+events)</t>
  </si>
  <si>
    <t>/ccx/service/{tenant}/Human_Resources/v44.1 op Get_Workers w/ Include_Transaction_Log_Data=true</t>
  </si>
  <si>
    <t>🟢 Synced — 390,880 rows (not payroll-consumed)</t>
  </si>
  <si>
    <t>BP/event audit trail</t>
  </si>
  <si>
    <t>Get_Organizations</t>
  </si>
  <si>
    <t>/ccx/service/{tenant}/Human_Resources/v44.1 op Get_Organizations</t>
  </si>
  <si>
    <t>🟢 Synced — 1,975 rows</t>
  </si>
  <si>
    <t>Cost center / org hierarchy</t>
  </si>
  <si>
    <t>Get_Holiday_Calendars</t>
  </si>
  <si>
    <t>/ccx/service/{tenant}/Human_Resources/v44.1 op Get_Holiday_Calendars</t>
  </si>
  <si>
    <t>🟢 Synced — 20 rows</t>
  </si>
  <si>
    <t>Holiday dates → OT multipliers</t>
  </si>
  <si>
    <t>Get_Time_Requests</t>
  </si>
  <si>
    <t>SOAP Time_Tracking v44.1</t>
  </si>
  <si>
    <t>/ccx/service/{tenant}/Time_Tracking/v44.1 op Get_Time_Requests</t>
  </si>
  <si>
    <t>🟢 Synced — 106 rows</t>
  </si>
  <si>
    <t>OT Plan requests (hours + approval)</t>
  </si>
  <si>
    <t>CTD_-_Monthly_Attendance_Report_-_Copy</t>
  </si>
  <si>
    <t>RaaS customreport2</t>
  </si>
  <si>
    <t>hongnl@coteccons.vn
/ccx/service/customreport2/{tenant}/{owner}/CTD_-_Monthly_Attendance_Report_-_Copy</t>
  </si>
  <si>
    <t>🟡 Stale — 6,935 rows, timed out on wide-range re-sync</t>
  </si>
  <si>
    <t>Attendance, OT hours, leave days</t>
  </si>
  <si>
    <t>CTD_-_Compensation_Changes_Report</t>
  </si>
  <si>
    <t>hongnl@coteccons.vn
/ccx/service/customreport2/{tenant}/{owner}/CTD_-_Compensation_Changes_Report</t>
  </si>
  <si>
    <t>🟢 Synced — 10,692 rows</t>
  </si>
  <si>
    <t>Salary/allowance mid-month changes</t>
  </si>
  <si>
    <t>Compensation_Profile_-_Allowances</t>
  </si>
  <si>
    <t>/ccx/service/customreport2/{tenant}/wd-support/Compensation_Profile_-_Allowances</t>
  </si>
  <si>
    <t>🟢 Synced — 4,157 rows</t>
  </si>
  <si>
    <t>Current allowance snapshot</t>
  </si>
  <si>
    <t>Get_Calculated_Time_Blocks</t>
  </si>
  <si>
    <t>🔴 Blocked — security domain not granted</t>
  </si>
  <si>
    <t>Would give OT actual hours</t>
  </si>
  <si>
    <t>CTD_-_List_Detail_of_Work_History</t>
  </si>
  <si>
    <t>🔴 Blocked — tenant report permission issue</t>
  </si>
  <si>
    <t>Would give allowance event history</t>
  </si>
  <si>
    <t>All_Worker_Time_Off</t>
  </si>
  <si>
    <t>RaaS systemreport2</t>
  </si>
  <si>
    <t>🔴 Blocked — every param rejected</t>
  </si>
  <si>
    <t>Would give time-off/leave data</t>
  </si>
  <si>
    <t>CTD_-_Time_Off_Balance_For_Payout_-_Copy</t>
  </si>
  <si>
    <t>🟠 Waiting — needs Business_Object value from user</t>
  </si>
  <si>
    <t>Would give leave-balance-for-payout data</t>
  </si>
  <si>
    <t>Get_Time_Off_Plan_Balances</t>
  </si>
  <si>
    <t>SOAP Absence_Management v44.1/v46.1</t>
  </si>
  <si>
    <t>🔍 Verified to exist — not yet implemented</t>
  </si>
  <si>
    <t>Would give leave balances directly, no blocking param</t>
  </si>
  <si>
    <t>Compensation_Changes_Report (old, owner-less)</t>
  </si>
  <si>
    <t>⚪ Abandoned — replaced by #10</t>
  </si>
  <si>
    <t>—</t>
  </si>
  <si>
    <t>6x SOAP ops (HR v46.1: Get_Employee_Employment_Info, Get_Employee_Personal_Info, Get_Employee_Related_Persons, Get_Former_Workers, Get_Period_Reporting_Calendars, Get_Worker_Event_History)</t>
  </si>
  <si>
    <t>SOAP HR v46.1</t>
  </si>
  <si>
    <t>⚪ Abandoned — replaced by Get_Workers response-group flags</t>
  </si>
  <si>
    <t>CTD - Night/Sunday Meal &amp; Regular Audit</t>
  </si>
  <si>
    <t>RaaS ?</t>
  </si>
  <si>
    <t>⚫ Not found — need real report name</t>
  </si>
  <si>
    <t>Unknown</t>
  </si>
  <si>
    <t>CTD - Absence Report</t>
  </si>
  <si>
    <t>14× write operations (HireEmployee, ChangeJob, etc., internal/workday/write.go)</t>
  </si>
  <si>
    <t>📝 Coded, not wired to any REST endpoint</t>
  </si>
  <si>
    <t>Not payroll-read; write-back only</t>
  </si>
  <si>
    <t>Suggested Resources — Phase 1 (Internal CTD)</t>
  </si>
  <si>
    <t>IT Team</t>
  </si>
  <si>
    <t>#</t>
  </si>
  <si>
    <t>Email</t>
  </si>
  <si>
    <t>Role</t>
  </si>
  <si>
    <t>Nguyễn Phi Thoàn</t>
  </si>
  <si>
    <t>thoannp@coteccons.vn</t>
  </si>
  <si>
    <t>Functional Lead</t>
  </si>
  <si>
    <t>Đào Duy Thoại</t>
  </si>
  <si>
    <t>hoangdd@coteccons.vn</t>
  </si>
  <si>
    <t>Technical Lead</t>
  </si>
  <si>
    <t>Dương Phạm Thành Công</t>
  </si>
  <si>
    <t>congdpt@coteccons.vn</t>
  </si>
  <si>
    <t>review design, field mapping, integrations</t>
  </si>
  <si>
    <t>Nguyễn Lâm Khánh Quỳnh</t>
  </si>
  <si>
    <t>quynhnlk@coteccons.vn</t>
  </si>
  <si>
    <t>review design, field mapping, transfer knowledge</t>
  </si>
  <si>
    <t>Trần Văn Hậu</t>
  </si>
  <si>
    <t>hautv01@coteccons.vn</t>
  </si>
  <si>
    <t>Integration</t>
  </si>
  <si>
    <t>transfer knowledge, integrations</t>
  </si>
  <si>
    <t>Trần Bùi Hoàng Gia</t>
  </si>
  <si>
    <t>giatbh@coteccons.vn</t>
  </si>
  <si>
    <t>Back-end dev</t>
  </si>
  <si>
    <t>review system, infra, code quality, get onboarding</t>
  </si>
  <si>
    <t>Nguyễn Thiện Nhân</t>
  </si>
  <si>
    <t>nhannt02@cotecconsgroupvn.onmicrosoft.com</t>
  </si>
  <si>
    <t>Front-end dev</t>
  </si>
  <si>
    <t>Nguyễn Lê Thanh Trúc</t>
  </si>
  <si>
    <t>trucnlt@cotecconsgroupvn.onmicrosoft.com</t>
  </si>
  <si>
    <t>QE</t>
  </si>
  <si>
    <t>review UI, tool quality, rule quality, documents</t>
  </si>
  <si>
    <t>HC</t>
  </si>
  <si>
    <t>Function</t>
  </si>
  <si>
    <t>Phạm Thị Ánh Nguyệt</t>
  </si>
  <si>
    <t>nguyetpta@coteccons.vn</t>
  </si>
  <si>
    <t>Core HCM (com change, termination, review contract...), Compensation</t>
  </si>
  <si>
    <t>Bùi Thị Thanh</t>
  </si>
  <si>
    <t>thanh.bui@unicons.vn</t>
  </si>
  <si>
    <t>Absence, Time Tracking, Core HCM (Job Change, Com Change)</t>
  </si>
  <si>
    <t>LUỒNG TẠO VÀ XỬ LÝ PAYSLIP (recommendation)</t>
  </si>
  <si>
    <t>1. Kéo dữ liệu mỗi tháng từ Workday &amp; CTD HRIS</t>
  </si>
  <si>
    <t>- Định kỳ mỗi tháng ngày chốt công (20)/ thủ công kéo dữ liệu từ hệ thống Workday và CTD HRIS về CTD Payroll Engine bao gồm:</t>
  </si>
  <si>
    <t>+ CTD HRIS: Employees' expenses</t>
  </si>
  <si>
    <t>+ Workday: Employee information, Compensation plans, Time Tracking and Absences</t>
  </si>
  <si>
    <t>- Tại Payroll Engine: Tính toán Allowance dựa theo thông tin Onboard, Offboard, Enter times, ...</t>
  </si>
  <si>
    <t>+ Cần HR cung cấp các trường hợp loại trừ, phát sinh (nếu có)</t>
  </si>
  <si>
    <t>Ví dụ: Tiền cơm OT, trường hợp không dc hưởng phụ cấp (based on Onboard/Offboard), ...</t>
  </si>
  <si>
    <t>2. Kiểm tra thông tin và tính Payslip cho toàn bộ nhân viên</t>
  </si>
  <si>
    <t>- HR review lại các thông tin về Allowance, Enter times, Expenses</t>
  </si>
  <si>
    <r>
      <t xml:space="preserve">+ Click </t>
    </r>
    <r>
      <rPr>
        <b/>
        <sz val="10"/>
        <color rgb="FFFF0000"/>
        <rFont val="Arial"/>
        <family val="2"/>
      </rPr>
      <t xml:space="preserve">Download &lt;Allowances/Enter times/ Expense&gt; report </t>
    </r>
    <r>
      <rPr>
        <sz val="10"/>
        <color rgb="FFFF0000"/>
        <rFont val="Arial"/>
        <family val="2"/>
      </rPr>
      <t>lấy các file Excel tương ứng về kiểm tra</t>
    </r>
  </si>
  <si>
    <t>+ Cần HR cung cấp/ xác nhận các template report tương ứng từng object</t>
  </si>
  <si>
    <t>(1)</t>
  </si>
  <si>
    <r>
      <rPr>
        <sz val="10"/>
        <color rgb="FF000000"/>
        <rFont val="Arial"/>
        <family val="2"/>
      </rPr>
      <t xml:space="preserve">- Click </t>
    </r>
    <r>
      <rPr>
        <b/>
        <sz val="10"/>
        <color rgb="FF000000"/>
        <rFont val="Arial"/>
        <family val="2"/>
      </rPr>
      <t>Mass approve</t>
    </r>
    <r>
      <rPr>
        <sz val="10"/>
        <color rgb="FF000000"/>
        <rFont val="Arial"/>
        <family val="2"/>
      </rPr>
      <t xml:space="preserve"> sau khi review các data ở mỗi object chính xác</t>
    </r>
  </si>
  <si>
    <r>
      <rPr>
        <sz val="10"/>
        <color rgb="FF000000"/>
        <rFont val="Arial"/>
        <family val="2"/>
      </rPr>
      <t xml:space="preserve">- Tạo </t>
    </r>
    <r>
      <rPr>
        <b/>
        <sz val="10"/>
        <color rgb="FF000000"/>
        <rFont val="Arial"/>
        <family val="2"/>
      </rPr>
      <t>Payroll period</t>
    </r>
    <r>
      <rPr>
        <sz val="10"/>
        <color rgb="FF000000"/>
        <rFont val="Arial"/>
        <family val="2"/>
      </rPr>
      <t>, mặc định 25 của tháng trước đến 25 tháng hiện tại</t>
    </r>
  </si>
  <si>
    <r>
      <rPr>
        <sz val="10"/>
        <color rgb="FF000000"/>
        <rFont val="Arial"/>
        <family val="2"/>
      </rPr>
      <t xml:space="preserve">- Tại Payroll period view, click </t>
    </r>
    <r>
      <rPr>
        <b/>
        <sz val="10"/>
        <color rgb="FF000000"/>
        <rFont val="Arial"/>
        <family val="2"/>
      </rPr>
      <t xml:space="preserve">Generate Payslips </t>
    </r>
    <r>
      <rPr>
        <sz val="10"/>
        <color rgb="FF000000"/>
        <rFont val="Arial"/>
        <family val="2"/>
      </rPr>
      <t>để hệ thống tạo các payslips trong period.</t>
    </r>
  </si>
  <si>
    <t>+ Cần HR cung cấp/ xác nhận cấu trúc lương và các công thức lương được dùng để tính Payroll</t>
  </si>
  <si>
    <t>3. Upload để chỉnh các ad-hoc cases</t>
  </si>
  <si>
    <r>
      <rPr>
        <sz val="10"/>
        <color rgb="FF000000"/>
        <rFont val="Arial"/>
        <family val="2"/>
      </rPr>
      <t xml:space="preserve">- Tại Payroll period view, sau khi Payslips được tạo. Click </t>
    </r>
    <r>
      <rPr>
        <b/>
        <sz val="10"/>
        <color rgb="FF000000"/>
        <rFont val="Arial"/>
        <family val="2"/>
      </rPr>
      <t xml:space="preserve">Download payroll </t>
    </r>
    <r>
      <rPr>
        <sz val="10"/>
        <color rgb="FF000000"/>
        <rFont val="Arial"/>
        <family val="2"/>
      </rPr>
      <t>report</t>
    </r>
  </si>
  <si>
    <t>+ Cần HR cung cấp/ xác nhận Payroll template</t>
  </si>
  <si>
    <t>(2)</t>
  </si>
  <si>
    <r>
      <rPr>
        <sz val="10"/>
        <color rgb="FF000000"/>
        <rFont val="Arial"/>
        <family val="2"/>
      </rPr>
      <t xml:space="preserve">- Tại Payroll period view, click </t>
    </r>
    <r>
      <rPr>
        <b/>
        <sz val="10"/>
        <color rgb="FF000000"/>
        <rFont val="Arial"/>
        <family val="2"/>
      </rPr>
      <t>Update payslip</t>
    </r>
    <r>
      <rPr>
        <sz val="10"/>
        <color rgb="FF000000"/>
        <rFont val="Arial"/>
        <family val="2"/>
      </rPr>
      <t xml:space="preserve"> xuất hiện pop-up cho phép HR upload Payroll file với các mục cần thay đổi</t>
    </r>
  </si>
  <si>
    <r>
      <rPr>
        <sz val="10"/>
        <color rgb="FF000000"/>
        <rFont val="Arial"/>
        <family val="2"/>
      </rPr>
      <t xml:space="preserve">- Tại Payroll period view, click </t>
    </r>
    <r>
      <rPr>
        <b/>
        <sz val="10"/>
        <color rgb="FF000000"/>
        <rFont val="Arial"/>
        <family val="2"/>
      </rPr>
      <t>Re-compute payslips</t>
    </r>
    <r>
      <rPr>
        <sz val="10"/>
        <color rgb="FF000000"/>
        <rFont val="Arial"/>
        <family val="2"/>
      </rPr>
      <t xml:space="preserve"> để reset lại payslip theo cấu trúc lương của hệ thống</t>
    </r>
  </si>
  <si>
    <t>4. Xác nhận và gửi payslip</t>
  </si>
  <si>
    <r>
      <rPr>
        <sz val="10"/>
        <color rgb="FF000000"/>
        <rFont val="Arial"/>
        <family val="2"/>
      </rPr>
      <t xml:space="preserve">- Sau khi kiểm tra toàn bộ dữ liệu và đảm bảo tính chính xác. Tại Payroll period view, click </t>
    </r>
    <r>
      <rPr>
        <b/>
        <sz val="10"/>
        <color rgb="FF000000"/>
        <rFont val="Arial"/>
        <family val="2"/>
      </rPr>
      <t xml:space="preserve">Approved </t>
    </r>
    <r>
      <rPr>
        <sz val="10"/>
        <color rgb="FF000000"/>
        <rFont val="Arial"/>
        <family val="2"/>
      </rPr>
      <t>để xác nhận và khoá thay đổi toàn bộ Payslip</t>
    </r>
  </si>
  <si>
    <r>
      <rPr>
        <sz val="10"/>
        <color rgb="FF000000"/>
        <rFont val="Arial"/>
        <family val="2"/>
      </rPr>
      <t xml:space="preserve">- Khi Payroll period đã done, click </t>
    </r>
    <r>
      <rPr>
        <b/>
        <sz val="10"/>
        <color rgb="FF000000"/>
        <rFont val="Arial"/>
        <family val="2"/>
      </rPr>
      <t>Push to WD</t>
    </r>
    <r>
      <rPr>
        <sz val="10"/>
        <color rgb="FF000000"/>
        <rFont val="Arial"/>
        <family val="2"/>
      </rPr>
      <t xml:space="preserve"> đẩy các Payslip vào SFTP để đưa lên WD.</t>
    </r>
  </si>
  <si>
    <t>+ Cần HR cung cấp/ xác nhận Payslip template</t>
  </si>
  <si>
    <t>(3)</t>
  </si>
  <si>
    <r>
      <rPr>
        <sz val="10"/>
        <color rgb="FF000000"/>
        <rFont val="Arial"/>
        <family val="2"/>
      </rPr>
      <t xml:space="preserve">- Các template cần đẩy lên WD bao gồm: </t>
    </r>
    <r>
      <rPr>
        <b/>
        <sz val="10"/>
        <color rgb="FFFFC000"/>
        <rFont val="Arial"/>
        <family val="2"/>
      </rPr>
      <t>(1), (2) và (3)</t>
    </r>
  </si>
  <si>
    <t>5. Lưu ý</t>
  </si>
  <si>
    <r>
      <rPr>
        <sz val="10"/>
        <color rgb="FF000000"/>
        <rFont val="Arial"/>
        <family val="2"/>
      </rPr>
      <t xml:space="preserve">Tại màn hình </t>
    </r>
    <r>
      <rPr>
        <b/>
        <sz val="10"/>
        <color rgb="FF000000"/>
        <rFont val="Arial"/>
        <family val="2"/>
      </rPr>
      <t>Payroll period:</t>
    </r>
  </si>
  <si>
    <r>
      <rPr>
        <sz val="11"/>
        <color rgb="FF000000"/>
        <rFont val="Calibri"/>
        <family val="2"/>
        <scheme val="minor"/>
      </rPr>
      <t xml:space="preserve">Tại các màn hình </t>
    </r>
    <r>
      <rPr>
        <b/>
        <sz val="11"/>
        <color rgb="FF000000"/>
        <rFont val="Calibri"/>
        <family val="2"/>
        <scheme val="minor"/>
      </rPr>
      <t>Allowance/ Enter times/ Expense</t>
    </r>
    <r>
      <rPr>
        <sz val="11"/>
        <color rgb="FF000000"/>
        <rFont val="Calibri"/>
        <family val="2"/>
        <scheme val="minor"/>
      </rPr>
      <t>:</t>
    </r>
  </si>
  <si>
    <t>Các trạng thái cần có: New -&gt; Computed -&gt;Done -&gt; Pushed -&gt; Cancel</t>
  </si>
  <si>
    <t>Các trạng thái cần ở mỗi object: Draft -&gt; Approved -&gt; Archived</t>
  </si>
  <si>
    <t xml:space="preserve">- New: </t>
  </si>
  <si>
    <t>- Draft:</t>
  </si>
  <si>
    <r>
      <rPr>
        <sz val="11"/>
        <color rgb="FF000000"/>
        <rFont val="Calibri"/>
        <family val="2"/>
        <scheme val="minor"/>
      </rPr>
      <t xml:space="preserve">+ </t>
    </r>
    <r>
      <rPr>
        <b/>
        <sz val="11"/>
        <color rgb="FF000000"/>
        <rFont val="Calibri"/>
        <family val="2"/>
        <scheme val="minor"/>
      </rPr>
      <t>Compute Payslip</t>
    </r>
    <r>
      <rPr>
        <sz val="11"/>
        <color rgb="FF000000"/>
        <rFont val="Calibri"/>
        <family val="2"/>
        <scheme val="minor"/>
      </rPr>
      <t xml:space="preserve"> button:</t>
    </r>
  </si>
  <si>
    <r>
      <rPr>
        <sz val="11"/>
        <color rgb="FF000000"/>
        <rFont val="Calibri"/>
        <family val="2"/>
        <scheme val="minor"/>
      </rPr>
      <t xml:space="preserve">+ </t>
    </r>
    <r>
      <rPr>
        <b/>
        <sz val="11"/>
        <color rgb="FF000000"/>
        <rFont val="Calibri"/>
        <family val="2"/>
        <scheme val="minor"/>
      </rPr>
      <t>Approved</t>
    </r>
    <r>
      <rPr>
        <sz val="11"/>
        <color rgb="FF000000"/>
        <rFont val="Calibri"/>
        <family val="2"/>
        <scheme val="minor"/>
      </rPr>
      <t xml:space="preserve"> button:</t>
    </r>
  </si>
  <si>
    <t>- Computed:</t>
  </si>
  <si>
    <r>
      <rPr>
        <sz val="11"/>
        <color rgb="FF000000"/>
        <rFont val="Calibri"/>
        <family val="2"/>
        <scheme val="minor"/>
      </rPr>
      <t xml:space="preserve">+ </t>
    </r>
    <r>
      <rPr>
        <b/>
        <sz val="11"/>
        <color rgb="FF000000"/>
        <rFont val="Calibri"/>
        <family val="2"/>
        <scheme val="minor"/>
      </rPr>
      <t>Archived</t>
    </r>
    <r>
      <rPr>
        <sz val="11"/>
        <color rgb="FF000000"/>
        <rFont val="Calibri"/>
        <family val="2"/>
        <scheme val="minor"/>
      </rPr>
      <t xml:space="preserve"> button:</t>
    </r>
  </si>
  <si>
    <r>
      <rPr>
        <sz val="11"/>
        <color rgb="FF000000"/>
        <rFont val="Calibri"/>
        <family val="2"/>
        <scheme val="minor"/>
      </rPr>
      <t xml:space="preserve">+ </t>
    </r>
    <r>
      <rPr>
        <b/>
        <sz val="11"/>
        <color rgb="FF000000"/>
        <rFont val="Calibri"/>
        <family val="2"/>
        <scheme val="minor"/>
      </rPr>
      <t>Download payroll</t>
    </r>
    <r>
      <rPr>
        <sz val="11"/>
        <color rgb="FF000000"/>
        <rFont val="Calibri"/>
        <family val="2"/>
        <scheme val="minor"/>
      </rPr>
      <t xml:space="preserve"> button:</t>
    </r>
  </si>
  <si>
    <t>- Archived:</t>
  </si>
  <si>
    <r>
      <rPr>
        <sz val="11"/>
        <color rgb="FF000000"/>
        <rFont val="Calibri"/>
        <family val="2"/>
        <scheme val="minor"/>
      </rPr>
      <t xml:space="preserve">+ </t>
    </r>
    <r>
      <rPr>
        <b/>
        <sz val="11"/>
        <color rgb="FF000000"/>
        <rFont val="Calibri"/>
        <family val="2"/>
        <scheme val="minor"/>
      </rPr>
      <t>Update payslip</t>
    </r>
    <r>
      <rPr>
        <sz val="11"/>
        <color rgb="FF000000"/>
        <rFont val="Calibri"/>
        <family val="2"/>
        <scheme val="minor"/>
      </rPr>
      <t xml:space="preserve"> button:</t>
    </r>
  </si>
  <si>
    <r>
      <rPr>
        <sz val="11"/>
        <color rgb="FF000000"/>
        <rFont val="Calibri"/>
        <family val="2"/>
        <scheme val="minor"/>
      </rPr>
      <t xml:space="preserve">+ </t>
    </r>
    <r>
      <rPr>
        <b/>
        <sz val="11"/>
        <color rgb="FF000000"/>
        <rFont val="Calibri"/>
        <family val="2"/>
        <scheme val="minor"/>
      </rPr>
      <t>Unarchived</t>
    </r>
    <r>
      <rPr>
        <sz val="11"/>
        <color rgb="FF000000"/>
        <rFont val="Calibri"/>
        <family val="2"/>
        <scheme val="minor"/>
      </rPr>
      <t xml:space="preserve"> button:</t>
    </r>
  </si>
  <si>
    <r>
      <rPr>
        <sz val="11"/>
        <color rgb="FF000000"/>
        <rFont val="Calibri"/>
        <family val="2"/>
        <scheme val="minor"/>
      </rPr>
      <t xml:space="preserve">+ </t>
    </r>
    <r>
      <rPr>
        <b/>
        <sz val="11"/>
        <color rgb="FF000000"/>
        <rFont val="Calibri"/>
        <family val="2"/>
        <scheme val="minor"/>
      </rPr>
      <t>Re-compute payslips</t>
    </r>
    <r>
      <rPr>
        <sz val="11"/>
        <color rgb="FF000000"/>
        <rFont val="Calibri"/>
        <family val="2"/>
        <scheme val="minor"/>
      </rPr>
      <t xml:space="preserve"> button:</t>
    </r>
  </si>
  <si>
    <r>
      <rPr>
        <sz val="11"/>
        <color rgb="FF000000"/>
        <rFont val="Calibri"/>
        <family val="2"/>
        <scheme val="minor"/>
      </rPr>
      <t xml:space="preserve">- Button </t>
    </r>
    <r>
      <rPr>
        <b/>
        <sz val="11"/>
        <color rgb="FF000000"/>
        <rFont val="Calibri"/>
        <family val="2"/>
        <scheme val="minor"/>
      </rPr>
      <t>Print report</t>
    </r>
    <r>
      <rPr>
        <sz val="11"/>
        <color rgb="FF000000"/>
        <rFont val="Calibri"/>
        <family val="2"/>
        <scheme val="minor"/>
      </rPr>
      <t xml:space="preserve"> ở các trạng thái Draft/ Approved</t>
    </r>
  </si>
  <si>
    <t>- Done:</t>
  </si>
  <si>
    <r>
      <rPr>
        <sz val="11"/>
        <color rgb="FF000000"/>
        <rFont val="Calibri"/>
        <family val="2"/>
        <scheme val="minor"/>
      </rPr>
      <t xml:space="preserve">+ </t>
    </r>
    <r>
      <rPr>
        <b/>
        <sz val="11"/>
        <color rgb="FF000000"/>
        <rFont val="Calibri"/>
        <family val="2"/>
        <scheme val="minor"/>
      </rPr>
      <t>Push to WD</t>
    </r>
    <r>
      <rPr>
        <sz val="11"/>
        <color rgb="FF000000"/>
        <rFont val="Calibri"/>
        <family val="2"/>
        <scheme val="minor"/>
      </rPr>
      <t xml:space="preserve"> button:</t>
    </r>
  </si>
  <si>
    <r>
      <rPr>
        <sz val="11"/>
        <color rgb="FF000000"/>
        <rFont val="Calibri"/>
        <family val="2"/>
        <scheme val="minor"/>
      </rPr>
      <t xml:space="preserve">- Button </t>
    </r>
    <r>
      <rPr>
        <b/>
        <sz val="11"/>
        <color rgb="FF000000"/>
        <rFont val="Calibri"/>
        <family val="2"/>
        <scheme val="minor"/>
      </rPr>
      <t>Cancel</t>
    </r>
    <r>
      <rPr>
        <sz val="11"/>
        <color rgb="FF000000"/>
        <rFont val="Calibri"/>
        <family val="2"/>
        <scheme val="minor"/>
      </rPr>
      <t xml:space="preserve"> ở các trạng thái New/ Computed/ Done</t>
    </r>
  </si>
  <si>
    <t>Rule</t>
  </si>
  <si>
    <t>Compensation plan</t>
  </si>
  <si>
    <t>Level 1</t>
  </si>
  <si>
    <t>Level 2-3</t>
  </si>
  <si>
    <t>Level 4</t>
  </si>
  <si>
    <t>Level 5</t>
  </si>
  <si>
    <t>Level 6</t>
  </si>
  <si>
    <t>Level 7</t>
  </si>
  <si>
    <t>Level 8</t>
  </si>
  <si>
    <t>Tel</t>
  </si>
  <si>
    <t>1tr</t>
  </si>
  <si>
    <t>Car</t>
  </si>
  <si>
    <t>Not BOD</t>
  </si>
  <si>
    <t>10tr</t>
  </si>
  <si>
    <t>25tr</t>
  </si>
  <si>
    <t>BOD</t>
  </si>
  <si>
    <t>35tr</t>
  </si>
  <si>
    <t>Petro</t>
  </si>
  <si>
    <t>Not site</t>
  </si>
  <si>
    <t>800 with approval</t>
  </si>
  <si>
    <t>Site</t>
  </si>
  <si>
    <t>Responsibility</t>
  </si>
  <si>
    <t>Security Team Leader</t>
  </si>
  <si>
    <t>1tr2</t>
  </si>
  <si>
    <t>Deputy Security Team Leader</t>
  </si>
  <si>
    <t>800k</t>
  </si>
  <si>
    <t>Acting Deputy Site Manager</t>
  </si>
  <si>
    <t>5tr</t>
  </si>
  <si>
    <t>Acting Site Manager</t>
  </si>
  <si>
    <t>8tr</t>
  </si>
  <si>
    <t>Acting Project Director</t>
  </si>
  <si>
    <t>15tr</t>
  </si>
  <si>
    <t>Transportation</t>
  </si>
  <si>
    <t>30-100 km, central</t>
  </si>
  <si>
    <t>1tr5</t>
  </si>
  <si>
    <t>1tr9</t>
  </si>
  <si>
    <t>100-400 km, central</t>
  </si>
  <si>
    <t>2tr1</t>
  </si>
  <si>
    <t>2tr6</t>
  </si>
  <si>
    <t>2tr9</t>
  </si>
  <si>
    <t>400-1k km, central</t>
  </si>
  <si>
    <t>4tr</t>
  </si>
  <si>
    <t>4tr5</t>
  </si>
  <si>
    <t>30-100 km, not central</t>
  </si>
  <si>
    <t>100-400 km, not central</t>
  </si>
  <si>
    <t>400-1k km, not central</t>
  </si>
  <si>
    <t>4tr8</t>
  </si>
  <si>
    <t>5tr3</t>
  </si>
  <si>
    <t>8tr6</t>
  </si>
  <si>
    <t>&gt; 1k km, not central</t>
  </si>
  <si>
    <t>5tr7</t>
  </si>
  <si>
    <t>7tr6</t>
  </si>
  <si>
    <t>13tr2</t>
  </si>
  <si>
    <t>Meal</t>
  </si>
  <si>
    <t>Security staff</t>
  </si>
  <si>
    <t>2 x 45k</t>
  </si>
  <si>
    <t>Non-project</t>
  </si>
  <si>
    <t>1 x 45k</t>
  </si>
  <si>
    <t>Project &lt; 30km</t>
  </si>
  <si>
    <t>Project &gt;= 30k</t>
  </si>
  <si>
    <t>3 x 45k</t>
  </si>
  <si>
    <t>Exception</t>
  </si>
  <si>
    <t>Handle</t>
  </si>
  <si>
    <t>Compute</t>
  </si>
  <si>
    <t>New Hire employee has the same permanent residence province as their working location</t>
  </si>
  <si>
    <t>WD</t>
  </si>
  <si>
    <t>Amount = 0</t>
  </si>
  <si>
    <t>code</t>
  </si>
  <si>
    <t>category</t>
  </si>
  <si>
    <t>vis</t>
  </si>
  <si>
    <t>seq</t>
  </si>
  <si>
    <t>type</t>
  </si>
  <si>
    <t>tax</t>
  </si>
  <si>
    <t>source -tobe</t>
  </si>
  <si>
    <t>tên</t>
  </si>
  <si>
    <t>công thức hiện tại</t>
  </si>
  <si>
    <t>Sample payroll fomula - explain in text 
(red highlighed is the diff bw col H vs J)</t>
  </si>
  <si>
    <t>Matched? (Y/N)</t>
  </si>
  <si>
    <t>HR Confirm</t>
  </si>
  <si>
    <t>Confirmed by</t>
  </si>
  <si>
    <t>Confirmed Date</t>
  </si>
  <si>
    <t>STD_DAYS</t>
  </si>
  <si>
    <t>input</t>
  </si>
  <si>
    <t>Công chuẩn</t>
  </si>
  <si>
    <t>Legend</t>
  </si>
  <si>
    <t>PROB_DAYS</t>
  </si>
  <si>
    <t>TIME_TRACKING</t>
  </si>
  <si>
    <t>WD API</t>
  </si>
  <si>
    <t>Ngày công thử việc</t>
  </si>
  <si>
    <t>Key</t>
  </si>
  <si>
    <t>value</t>
  </si>
  <si>
    <t>Source</t>
  </si>
  <si>
    <t>note</t>
  </si>
  <si>
    <t>OFFICIAL_DAYS</t>
  </si>
  <si>
    <t>Ngày công chính thức</t>
  </si>
  <si>
    <t>Excel compute</t>
  </si>
  <si>
    <t>ACTUAL_DAYS</t>
  </si>
  <si>
    <t>formula</t>
  </si>
  <si>
    <t>Tổng ngày công thực tế</t>
  </si>
  <si>
    <t>PAID_LEAVE_DAYS</t>
  </si>
  <si>
    <t>Nghỉ phép năm</t>
  </si>
  <si>
    <t>WD API - CTD Payroll</t>
  </si>
  <si>
    <t>HOLIDAY_DAYS</t>
  </si>
  <si>
    <t>Nghỉ lễ, tết</t>
  </si>
  <si>
    <t>CTD HRIS</t>
  </si>
  <si>
    <t>COMP_DAYS</t>
  </si>
  <si>
    <t>Nghỉ bù</t>
  </si>
  <si>
    <t>Compute from formula</t>
  </si>
  <si>
    <t>REGIME_DAYS</t>
  </si>
  <si>
    <t>Nghỉ chế độ &amp; có hưởng lương</t>
  </si>
  <si>
    <t>system</t>
  </si>
  <si>
    <t>what does this mean?</t>
  </si>
  <si>
    <t>UNPAID_DAYS</t>
  </si>
  <si>
    <t>Nghỉ không hưởng lương</t>
  </si>
  <si>
    <t>Include tax</t>
  </si>
  <si>
    <t>SI_DAYS</t>
  </si>
  <si>
    <t>Nghỉ chế độ BHXH</t>
  </si>
  <si>
    <t>No-include tax</t>
  </si>
  <si>
    <t>ADJ_DAYS</t>
  </si>
  <si>
    <t>Ngày công điều chỉnh</t>
  </si>
  <si>
    <t>Hide in Payslip</t>
  </si>
  <si>
    <t>CONS_ALLOW</t>
  </si>
  <si>
    <t>Phụ cấp công trình</t>
  </si>
  <si>
    <t>other</t>
  </si>
  <si>
    <t>Show in Payslip</t>
  </si>
  <si>
    <t>PAID_DAYS</t>
  </si>
  <si>
    <t>TIME_TRACKING_TOTAL</t>
  </si>
  <si>
    <t>Tổng ngày làm việc hưởng lương</t>
  </si>
  <si>
    <t>[ACTUAL_DAYS] + [HOLIDAY_DAYS] + [PAID_LEAVE_DAYS] + [COMP_DAYS] + [REGIME_DAYS] + [SI_DAYS] + [ADJ_DAYS]</t>
  </si>
  <si>
    <r>
      <rPr>
        <sz val="10"/>
        <color rgb="FF000000"/>
        <rFont val="Arial"/>
        <family val="2"/>
      </rPr>
      <t>IF(Loại hợp đồng="Chính thức") :</t>
    </r>
    <r>
      <rPr>
        <sz val="10"/>
        <color rgb="FFFF0000"/>
        <rFont val="Arial"/>
        <family val="2"/>
      </rPr>
      <t xml:space="preserve"> Ngày làm việc thực tế-Sau thử việc </t>
    </r>
    <r>
      <rPr>
        <sz val="10"/>
        <color rgb="FF000000"/>
        <rFont val="Arial"/>
        <family val="2"/>
      </rPr>
      <t xml:space="preserve">+ Nghỉ phép năm + Nghỉ lễ, tết + Nghỉ bù + Nghỉ có hưởng lương + Nghỉ chế độ (ma chay, hiếu hỉ); 
ELSE: </t>
    </r>
    <r>
      <rPr>
        <sz val="10"/>
        <color rgb="FFFF0000"/>
        <rFont val="Arial"/>
        <family val="2"/>
      </rPr>
      <t>Ngày làm việc thực tế-Thử việc</t>
    </r>
    <r>
      <rPr>
        <sz val="10"/>
        <color rgb="FF000000"/>
        <rFont val="Arial"/>
        <family val="2"/>
      </rPr>
      <t xml:space="preserve"> + Nghỉ phép năm + Nghỉ lễ, tết + Nghỉ bù + Nghỉ có hưởng lương + Nghỉ chế độ (ma chay, hiếu hỉ))  (nguồn: AI9)</t>
    </r>
  </si>
  <si>
    <t>N</t>
  </si>
  <si>
    <t>editable</t>
  </si>
  <si>
    <t>Allow edit after compute</t>
  </si>
  <si>
    <t>PROB_SAL</t>
  </si>
  <si>
    <t>SAL_CONTRACT_BASE</t>
  </si>
  <si>
    <t>Lương thử việc (85%)</t>
  </si>
  <si>
    <t>Can not edit</t>
  </si>
  <si>
    <t>BASIC_SAL</t>
  </si>
  <si>
    <t>Lương chính thức (100%)</t>
  </si>
  <si>
    <t>RESP_SAL</t>
  </si>
  <si>
    <t>Phụ cấp trách nhiệm</t>
  </si>
  <si>
    <t>CONTRACT_TOTAL</t>
  </si>
  <si>
    <t>SAL_CONTRACT_BASE_TOTAL</t>
  </si>
  <si>
    <t>Tổng lương trên HĐLĐ</t>
  </si>
  <si>
    <t>[BASIC_SAL] + [RESPONSIBILITY_ALLOW]</t>
  </si>
  <si>
    <r>
      <rPr>
        <sz val="10"/>
        <color rgb="FF000000"/>
        <rFont val="Arial"/>
        <family val="2"/>
      </rPr>
      <t xml:space="preserve">IF(Loại hợp đồng="Chính thức": Chính thức (100%) + Phụ cấp Trách nhiệm; 
</t>
    </r>
    <r>
      <rPr>
        <sz val="10"/>
        <color rgb="FFFF0000"/>
        <rFont val="Arial"/>
        <family val="2"/>
      </rPr>
      <t>ELSE: Thử việc (85%))  (nguồn: T9)</t>
    </r>
  </si>
  <si>
    <t>INS_SAL_BH</t>
  </si>
  <si>
    <t>Mức lương đóng BHXH, BHYT</t>
  </si>
  <si>
    <t>MIN([BASIC_SAL], 50600000)</t>
  </si>
  <si>
    <t>IF(Loại hợp đồng="Chính thức": MIN(Tổng lương trên HĐLĐ, 50.600.000); else = 0)  (nguồn: U9)
Nhân viên có hợp đồng 2 nơi, thì k đóng BHXH, BHYT</t>
  </si>
  <si>
    <t>Lưu ý th HĐ 2 nơi đang k đc quản lý trên WD, cần lưu master data</t>
  </si>
  <si>
    <t>INS_SAL_UI</t>
  </si>
  <si>
    <t>Mức lương đóng BHTN</t>
  </si>
  <si>
    <t>MIN([BASIC_SAL], 106200000)</t>
  </si>
  <si>
    <r>
      <rPr>
        <sz val="10"/>
        <color rgb="FF000000"/>
        <rFont val="Arial"/>
        <family val="2"/>
      </rPr>
      <t>IF(Loại hợp đồng="Chính thức": MIN(Tổng lương trên HĐLĐ, 106.200.000);</t>
    </r>
    <r>
      <rPr>
        <b/>
        <sz val="10"/>
        <color rgb="FFFF0000"/>
        <rFont val="Arial"/>
        <family val="2"/>
      </rPr>
      <t xml:space="preserve"> expath = 0; ELSE: 0)</t>
    </r>
    <r>
      <rPr>
        <sz val="10"/>
        <color rgb="FF000000"/>
        <rFont val="Arial"/>
        <family val="2"/>
      </rPr>
      <t xml:space="preserve">  (nguồn: V9)
</t>
    </r>
    <r>
      <rPr>
        <sz val="10"/>
        <color rgb="FFFF0000"/>
        <rFont val="Arial"/>
        <family val="2"/>
      </rPr>
      <t>Nhân viên có hđ 2 nơi thì k đóng BHTN</t>
    </r>
  </si>
  <si>
    <t>PROB_EARNED</t>
  </si>
  <si>
    <t>SAL_ACTUAL</t>
  </si>
  <si>
    <t>Lương thử việc</t>
  </si>
  <si>
    <t>[PROB_DAYS] * [PROB_SAL]  / [STD_DAYS]</t>
  </si>
  <si>
    <t>IF(Loại hợp đồng="Thử việc": ROUND(Thử việc (85%) / CÔNG CHUẨN × Tổng số ngày làm việc hưởng lương); ELSE: 0)  (nguồn: AJ9)</t>
  </si>
  <si>
    <t>Y</t>
  </si>
  <si>
    <t>general check: rounding method</t>
  </si>
  <si>
    <t>OFFICIAL_EARNED</t>
  </si>
  <si>
    <t>Lương chính thức</t>
  </si>
  <si>
    <t>([PAID_DAYS] - [PROB_DAYS]) * [BASIC_SAL] / [STD_DAYS]</t>
  </si>
  <si>
    <t>IF(Loại hợp đồng="Chính thức": ROUND(Chính thức (100%) / CÔNG CHUẨN × Tổng số ngày làm việc hưởng lương); ELSE: 0)  (nguồn: AK9)</t>
  </si>
  <si>
    <t>TIỀN: XX.00</t>
  </si>
  <si>
    <t>RESP_EARNED</t>
  </si>
  <si>
    <t>Phụ cấp trách nhiệm (thực tế)</t>
  </si>
  <si>
    <t>[PAID_DAYS] * [RESPONSIBILITY_ALLOW] / [STD_DAYS]</t>
  </si>
  <si>
    <t>ROUND(Phụ cấp Trách nhiệm / CÔNG CHUẨN × Tổng số ngày làm việc hưởng lương)  (nguồn: AL9)</t>
  </si>
  <si>
    <t>day/other: xx.5, yy.0</t>
  </si>
  <si>
    <t>EARNED_SAL</t>
  </si>
  <si>
    <t>SAL_ACTUAL_TOTAL</t>
  </si>
  <si>
    <t>Tổng lương thực tế trong tháng</t>
  </si>
  <si>
    <t>[PROB_EARNED] + [OFFICIAL_EARNED] + [RESP_EARNED]</t>
  </si>
  <si>
    <r>
      <rPr>
        <sz val="10"/>
        <color rgb="FF000000"/>
        <rFont val="Arial"/>
        <family val="2"/>
      </rPr>
      <t>ROUND(Lương Thử việc + Lương chính thức + Phụ cấp Trách nhiệm +</t>
    </r>
    <r>
      <rPr>
        <sz val="10"/>
        <color rgb="FFFF0000"/>
        <rFont val="Arial"/>
        <family val="2"/>
      </rPr>
      <t xml:space="preserve"> Lương phép tồn</t>
    </r>
    <r>
      <rPr>
        <sz val="10"/>
        <color rgb="FF000000"/>
        <rFont val="Arial"/>
        <family val="2"/>
      </rPr>
      <t>)  (nguồn: AN9 — l</t>
    </r>
    <r>
      <rPr>
        <sz val="10"/>
        <color rgb="FFFF0000"/>
        <rFont val="Arial"/>
        <family val="2"/>
      </rPr>
      <t>ưu ý: có cộng thêm "Lương phép tồn", công thức Structure không có mục này</t>
    </r>
    <r>
      <rPr>
        <sz val="10"/>
        <color rgb="FF000000"/>
        <rFont val="Arial"/>
        <family val="2"/>
      </rPr>
      <t>)</t>
    </r>
  </si>
  <si>
    <t>số phép tồn x mức lương (R16) / stand_d, áp dụng cho nhân viên chính thức</t>
  </si>
  <si>
    <t>EARNED_PAID_LEAVE</t>
  </si>
  <si>
    <t>Lương phép tồn</t>
  </si>
  <si>
    <t>=ngày phép tồn/ngày công chuẩn * Mức lương, chỉ áp dụng cho nhân viên chính thức</t>
  </si>
  <si>
    <t>MEALS_BASE</t>
  </si>
  <si>
    <t>excel compute</t>
  </si>
  <si>
    <t>Cơm phụ cấp (bữa)</t>
  </si>
  <si>
    <t>WD không trả cơm bữa, đếm số cơm bữa bằng cách cộng tổng ngày có Regular time tracking = 1</t>
  </si>
  <si>
    <t>WD trả cơm đêm + cơm tăng ca, k trả cơm hằng ngày. cơm hằng ngày lấy theo Regular =1</t>
  </si>
  <si>
    <t>MEALS_OT</t>
  </si>
  <si>
    <t xml:space="preserve">Cơm tăng ca (bữa) </t>
  </si>
  <si>
    <t>WD có trả cơm tăng ca, lấy từ WD</t>
  </si>
  <si>
    <t>= cơm đêm + cơm CN + tăng ca lễ</t>
  </si>
  <si>
    <t>MEALS_TOTAL</t>
  </si>
  <si>
    <t>Tổng bữa cơm</t>
  </si>
  <si>
    <t>MEAL_ALLOW</t>
  </si>
  <si>
    <t>PC cơm (tổng)</t>
  </si>
  <si>
    <t>[MEALS_TOTAL] * 45000</t>
  </si>
  <si>
    <t>Không có công thức trong sample - "PC cơm (Taxable)" và "PC cơm (Non-tax)" được nhập trực tiếp (Input)</t>
  </si>
  <si>
    <t>MEAL_TAX</t>
  </si>
  <si>
    <t>PC_TAX</t>
  </si>
  <si>
    <t>T</t>
  </si>
  <si>
    <t>PC cơm (chịu thuế)</t>
  </si>
  <si>
    <t>MAX(0, [MEAL_ALLOW] - 1200000)</t>
  </si>
  <si>
    <t>Không có công thức trong sample - "PC cơm (Taxable)" được nhập trực tiếp (Input), không tính từ tổng bữa ăn</t>
  </si>
  <si>
    <t>tổng phụ cơm &gt; 1tr2 thì phần chênh lệch là chịu thuế</t>
  </si>
  <si>
    <t>PHONE_ALLOW</t>
  </si>
  <si>
    <t>PC điện thoại (tổng)</t>
  </si>
  <si>
    <t>PHONE_TAX</t>
  </si>
  <si>
    <t>PC điện thoại (chịu thuế)</t>
  </si>
  <si>
    <t>Không có công thức trong sample - "PC điện thoại (Taxable)" được nhập trực tiếp (Input)</t>
  </si>
  <si>
    <t>FUEL_ALLOW</t>
  </si>
  <si>
    <t>PC NL/ Xăng</t>
  </si>
  <si>
    <t>TRANSPORT_ALLOW</t>
  </si>
  <si>
    <t>PC đi lại (chuẩn)</t>
  </si>
  <si>
    <t>TRIP_OVERRIDE</t>
  </si>
  <si>
    <t>HR input</t>
  </si>
  <si>
    <t>PC đi lại duyệt riêng</t>
  </si>
  <si>
    <t>TRANSPORT_TAX</t>
  </si>
  <si>
    <t>PC đi lại (chịu thuế)</t>
  </si>
  <si>
    <t>[TRANSPORT_ALLOW] + [TRIP_OVERRIDE]</t>
  </si>
  <si>
    <t>Không có công thức trong sample - "PC đi lại (Taxable)" được nhập trực tiếp (Input)</t>
  </si>
  <si>
    <t>ưu tiên PC override nếu có</t>
  </si>
  <si>
    <t>LIVING_ALLOW</t>
  </si>
  <si>
    <t>PC nhà ở</t>
  </si>
  <si>
    <t>OTHER_ALLOW_TAX</t>
  </si>
  <si>
    <t>PC Khác (chịu thuế)</t>
  </si>
  <si>
    <t>MEAL_NONTAX</t>
  </si>
  <si>
    <t>PC_NOTAX</t>
  </si>
  <si>
    <t>PC cơm (không chịu thuế)</t>
  </si>
  <si>
    <t>MIN([MEAL_ALLOW], 1200000)</t>
  </si>
  <si>
    <t>Không có công thức trong sample - "PC cơm (Non-tax)" được nhập trực tiếp (Input)</t>
  </si>
  <si>
    <t>PHONE_NONTAX</t>
  </si>
  <si>
    <t>PC điện thoại (không chịu thuế)</t>
  </si>
  <si>
    <t>[PHONE_ALLOW</t>
  </si>
  <si>
    <t>Không có công thức trong sample - "PC điện thoại (Non-tax)" được nhập trực tiếp (Input)</t>
  </si>
  <si>
    <t>FUEL_NONTAX</t>
  </si>
  <si>
    <t>PC NL/ Xăng (không chịu thuế)</t>
  </si>
  <si>
    <t>TRANSPORT_NONTAX</t>
  </si>
  <si>
    <t>PC đi lại (không chịu thuế)</t>
  </si>
  <si>
    <t>LIVING_NONTAX</t>
  </si>
  <si>
    <t>PC nhà ở (không chịu thuế)</t>
  </si>
  <si>
    <t>OTHER_ALLOW_NONTAX</t>
  </si>
  <si>
    <t>PC Khác (không chịu thuế)</t>
  </si>
  <si>
    <t>OT_TAX</t>
  </si>
  <si>
    <t>Tăng ca (chịu thuế)</t>
  </si>
  <si>
    <t>OT_NONTAX</t>
  </si>
  <si>
    <t>Tăng ca (không chịu thuế)</t>
  </si>
  <si>
    <t>BONUS_TET</t>
  </si>
  <si>
    <t>BONUS</t>
  </si>
  <si>
    <t>Thưởng tết âm lịch</t>
  </si>
  <si>
    <t>BONUS_30_04</t>
  </si>
  <si>
    <t>Thưởng 30/04</t>
  </si>
  <si>
    <t>BONUS_CTD_DAY</t>
  </si>
  <si>
    <t>Thưởng Coteccons Day</t>
  </si>
  <si>
    <t>BONUS_02_09</t>
  </si>
  <si>
    <t>Thưởng 02/09</t>
  </si>
  <si>
    <t>BONUS_KPI</t>
  </si>
  <si>
    <t>Thưởng KPIs / Văn phòng</t>
  </si>
  <si>
    <t>BONUS_13M</t>
  </si>
  <si>
    <t>Lương tháng 13</t>
  </si>
  <si>
    <t>BONUS_NEW_YEAR</t>
  </si>
  <si>
    <t>Thưởng tết dương lịch 1/1</t>
  </si>
  <si>
    <t>BONUS_PROJECT</t>
  </si>
  <si>
    <t>Thưởng dự án</t>
  </si>
  <si>
    <t>BONUS_EXCELLENCE</t>
  </si>
  <si>
    <t>Thưởng cá nhân xuất sắc</t>
  </si>
  <si>
    <t>BONUS_LOC</t>
  </si>
  <si>
    <t>Lộc đầu năm</t>
  </si>
  <si>
    <t>BONUS_OTHER</t>
  </si>
  <si>
    <t>Thưởng khác</t>
  </si>
  <si>
    <t>BONUS_TRAVEL</t>
  </si>
  <si>
    <t>OTHER_INCOME</t>
  </si>
  <si>
    <t>Du lịch (không chịu thuế)</t>
  </si>
  <si>
    <t>BONUS_REFERRAL</t>
  </si>
  <si>
    <t>Thưởng giới thiệu ứng viên nội bộ</t>
  </si>
  <si>
    <t>BONUS_TOTAL</t>
  </si>
  <si>
    <t>Tổng thưởng</t>
  </si>
  <si>
    <t>[BONUS_TET] + [BONUS_30_04] + [BONUS_CTD_DAY] + [BONUS_02_09] + [BONUS_KPI] + [BONUS_13M] + [BONUS_NEW_YEAR] + [BONUS_PROJECT] + [BONUS_EXCELLENCE] + [BONUS_LOC] + [BONUS_OTHER] + [BONUS_TRAVEL] + [BONUS_REFERRAL]</t>
  </si>
  <si>
    <t>Không có cột tổng riêng trong sample - Tết âm lịch + Thưởng 30/04 + Coteccons Day + Thưởng 02/09 + Thưởng KPIs + Lương tháng 13 + Tết dương lịch + Thưởng dự án + Thưởng cá nhân xuất sắc + Lộc đầu năm + Thưởng khác + Du lịch + Thưởng giới thiệu ứng viên nội bộ (chỉ được cộng gộp ẩn trong Tổng thu nhập trong tháng / Tổng thu nhập chịu thuế)</t>
  </si>
  <si>
    <t>SEVER_ALLOW</t>
  </si>
  <si>
    <t>OTHER_ALLOW</t>
  </si>
  <si>
    <t>Trợ cấp nghỉ việc</t>
  </si>
  <si>
    <t>SI_BENEFIT</t>
  </si>
  <si>
    <t>BHXH chi vào lương</t>
  </si>
  <si>
    <t>OTHER_SUPPORT</t>
  </si>
  <si>
    <t>Trợ cấp khác</t>
  </si>
  <si>
    <t>FAMILY_SUPPORT</t>
  </si>
  <si>
    <t>Các khoản hỗ trợ</t>
  </si>
  <si>
    <t>TOTAL_SUPPORT</t>
  </si>
  <si>
    <t>OTHER_ALLOW_TOTAL</t>
  </si>
  <si>
    <t>Tổng trợ cấp</t>
  </si>
  <si>
    <t>[SEVER_ALLOW] + [SI_BENEFIT] + [OTHER_SUPPORT] + [FAMILY_SUPPORT]</t>
  </si>
  <si>
    <t>Không có cột tổng riêng trong sample - Trợ cấp nghỉ việc + Trợ cấp BHXH chi vào lương + Trợ cấp khác + Các khoản trợ cấp khác (BHSK) (chỉ được cộng gộp ẩn trong Tổng thu nhập trong tháng)</t>
  </si>
  <si>
    <t>ADJ_PLUS</t>
  </si>
  <si>
    <t>ADJ</t>
  </si>
  <si>
    <t>Điều chỉnh cộng (+)</t>
  </si>
  <si>
    <t>ADJ_MINUS</t>
  </si>
  <si>
    <t>Điều chỉnh trừ (-)</t>
  </si>
  <si>
    <t>CHARITY_DED</t>
  </si>
  <si>
    <t>Từ thiện / Quỹ PCTT</t>
  </si>
  <si>
    <t>GROSS</t>
  </si>
  <si>
    <t>Tổng thu nhập trong tháng</t>
  </si>
  <si>
    <t>[EARNED_SAL] + [MEAL_TAX] + [MEAL_NONTAX] + [PHONE_TAX] + [PHONE_NONTAX] + [FUEL_ALLOW] + [FUEL_NONTAX] + [TRANSPORT_TAX] + [TRANSPORT_NONTAX] + [LIVING_ALLOW] + [LIVING_NONTAX] + [OTHER_ALLOW_TAX] + [OTHER_ALLOW_NONTAX] + [OT_TAX] + [OT_NONTAX] + [BONUS_TOTAL] + [TOTAL_SUPPORT] + [ADJ_PLUS] - [ADJ_MINUS]</t>
  </si>
  <si>
    <t>Tổng lương thực tế trong tháng + PC cơm(Taxable) + PC điện thoại(Taxable) + PC NL/Xăng(Taxable) + PC đi lại(Taxable) + PC nhà ở(Taxable) + PC Khác(Taxable) + PC cơm(Non-tax) + PC điện thoại(Non-tax) + PC NL/Xăng(Non-tax) + PC đi lại(Non-tax) + PC Nhà ở(Non-tax) + PC Khác(Non-tax) + OT Taxable + OT Non-tax + Tết âm lịch + Thưởng 30/04 + Coteccons Day + Thưởng 02/09 + Thưởng KPIs + Lương tháng 13 + Tết dương lịch + Thưởng dự án + Thưởng cá nhân xuất sắc + Lộc đầu năm + Thưởng khác + Du lịch + Thưởng giới thiệu ứng viên nội bộ + Trợ cấp nghỉ việc + Trợ cấp BHXH chi vào lương + Trợ cấp khác + Các khoản trợ cấp khác + Điều chỉnh cộng lương + Điều chỉnh trừ lương  (nguồn: BW9 = SUM(AN9:BU9); lưu ý "Điều chỉnh trừ lương" đang được CỘNG chứ không trừ)</t>
  </si>
  <si>
    <t>TAXABLE_GROSS</t>
  </si>
  <si>
    <t>Tổng thu nhập chịu thuế</t>
  </si>
  <si>
    <t>[GROSS] - [MEAL_NONTAX] - [PHONE_NONTAX] - [FUEL_NONTAX] - [TRANSPORT_NONTAX] - [LIVING_NONTAX] - [OTHER_ALLOW_NONTAX] - [OT_NONTAX] - [SEVER_ALLOW] - [SI_BENEFIT] - [BONUS_TRAVEL]</t>
  </si>
  <si>
    <r>
      <rPr>
        <sz val="10"/>
        <color rgb="FF000000"/>
        <rFont val="Arial"/>
        <family val="2"/>
      </rPr>
      <t xml:space="preserve">(Tổng lương thực tế trong tháng + PC cơm(Taxable) + PC điện thoại(Taxable) + PC NL/Xăng(Taxable) + PC đi lại(Taxable) + PC nhà ở(Taxable) + PC Khác(Taxable)) + OT Taxable + (Tết âm lịch + Thưởng 30/04 + Coteccons Day + Thưởng 02/09 + Thưởng KPIs + Lương tháng 13 + Tết dương lịch + Thưởng dự án + Thưởng cá nhân xuất sắc + Lộc đầu năm + Thưởng khác + Du lịch + Thưởng giới thiệu ứng viên nội bộ + Trợ cấp nghỉ việc + Trợ cấp BHXH chi vào lương + Trợ cấp khác + Các khoản trợ cấp khác + Điều chỉnh cộng lương + Điều chỉnh trừ lương) − </t>
    </r>
    <r>
      <rPr>
        <sz val="10"/>
        <color rgb="FFFF0000"/>
        <rFont val="Arial"/>
        <family val="2"/>
      </rPr>
      <t xml:space="preserve">Từ thiện − Lương phép tồn </t>
    </r>
    <r>
      <rPr>
        <sz val="10"/>
        <color rgb="FF000000"/>
        <rFont val="Arial"/>
        <family val="2"/>
      </rPr>
      <t xml:space="preserve"> (nguồn: BX9)</t>
    </r>
  </si>
  <si>
    <t xml:space="preserve"> ([MEAL_NONTAX] - [PHONE_NONTAX] - [FUEL_NONTAX] - [TRANSPORT_NONTAX] - [LIVING_NONTAX] - [OTHER_ALLOW_NONTAX] - [OT_NONTAX] - [SEVER_ALLOW] - [SI_BENEFIT] - [BONUS_TRAVEL])</t>
  </si>
  <si>
    <r>
      <t>gross = [EARNED_SAL] + [MEAL_TAX] +</t>
    </r>
    <r>
      <rPr>
        <i/>
        <strike/>
        <sz val="10"/>
        <color theme="1" tint="0.499984740745262"/>
        <rFont val="Arial"/>
        <family val="2"/>
      </rPr>
      <t xml:space="preserve"> [MEAL_NONTAX] </t>
    </r>
    <r>
      <rPr>
        <i/>
        <sz val="10"/>
        <color theme="1" tint="0.499984740745262"/>
        <rFont val="Arial"/>
        <family val="2"/>
      </rPr>
      <t>+ [PHONE_TAX] +</t>
    </r>
    <r>
      <rPr>
        <i/>
        <strike/>
        <sz val="10"/>
        <color theme="1" tint="0.499984740745262"/>
        <rFont val="Arial"/>
        <family val="2"/>
      </rPr>
      <t xml:space="preserve"> [PHONE_NONTAX] </t>
    </r>
    <r>
      <rPr>
        <i/>
        <sz val="10"/>
        <color theme="1" tint="0.499984740745262"/>
        <rFont val="Arial"/>
        <family val="2"/>
      </rPr>
      <t>+ [FUEL_ALLOW] +</t>
    </r>
    <r>
      <rPr>
        <i/>
        <strike/>
        <sz val="10"/>
        <color theme="1" tint="0.499984740745262"/>
        <rFont val="Arial"/>
        <family val="2"/>
      </rPr>
      <t xml:space="preserve"> [FUEL_NONTAX] </t>
    </r>
    <r>
      <rPr>
        <i/>
        <sz val="10"/>
        <color theme="1" tint="0.499984740745262"/>
        <rFont val="Arial"/>
        <family val="2"/>
      </rPr>
      <t xml:space="preserve">+ [TRANSPORT_TAX] + </t>
    </r>
    <r>
      <rPr>
        <i/>
        <strike/>
        <sz val="10"/>
        <color theme="1" tint="0.499984740745262"/>
        <rFont val="Arial"/>
        <family val="2"/>
      </rPr>
      <t>[TRANSPORT_NONTAX]</t>
    </r>
    <r>
      <rPr>
        <i/>
        <sz val="10"/>
        <color theme="1" tint="0.499984740745262"/>
        <rFont val="Arial"/>
        <family val="2"/>
      </rPr>
      <t xml:space="preserve"> + [LIVING_ALLOW] +</t>
    </r>
    <r>
      <rPr>
        <i/>
        <strike/>
        <sz val="10"/>
        <color theme="1" tint="0.499984740745262"/>
        <rFont val="Arial"/>
        <family val="2"/>
      </rPr>
      <t xml:space="preserve"> [LIVING_NONTAX] </t>
    </r>
    <r>
      <rPr>
        <i/>
        <sz val="10"/>
        <color theme="1" tint="0.499984740745262"/>
        <rFont val="Arial"/>
        <family val="2"/>
      </rPr>
      <t xml:space="preserve">+ [OTHER_ALLOW_TAX] + </t>
    </r>
    <r>
      <rPr>
        <i/>
        <strike/>
        <sz val="10"/>
        <color theme="1" tint="0.499984740745262"/>
        <rFont val="Arial"/>
        <family val="2"/>
      </rPr>
      <t xml:space="preserve">[OTHER_ALLOW_NONTAX] </t>
    </r>
    <r>
      <rPr>
        <i/>
        <sz val="10"/>
        <color theme="1" tint="0.499984740745262"/>
        <rFont val="Arial"/>
        <family val="2"/>
      </rPr>
      <t>+ [OT_TAX] +</t>
    </r>
    <r>
      <rPr>
        <i/>
        <strike/>
        <sz val="10"/>
        <color theme="1" tint="0.499984740745262"/>
        <rFont val="Arial"/>
        <family val="2"/>
      </rPr>
      <t xml:space="preserve"> [OT_NONTAX] + </t>
    </r>
    <r>
      <rPr>
        <i/>
        <sz val="10"/>
        <color theme="1" tint="0.499984740745262"/>
        <rFont val="Arial"/>
        <family val="2"/>
      </rPr>
      <t>[BONUS_TOTAL] + [TOTAL_SUPPORT] + [ADJ_PLUS] - [ADJ_MINUS]</t>
    </r>
  </si>
  <si>
    <t>-</t>
  </si>
  <si>
    <t>SI_EMP</t>
  </si>
  <si>
    <t>IS_EMP</t>
  </si>
  <si>
    <t>BHXH NV 8%</t>
  </si>
  <si>
    <t>MIN([BASIC_SAL], 46800000) * 0.08</t>
  </si>
  <si>
    <t>Không có công thức sống trong sample, là giá trị cố định = MIN(Tổng lương trên HĐLĐ, 50.600.000) × 8%  (nguồn: BY9)</t>
  </si>
  <si>
    <t>check expath =&gt; giống vn</t>
  </si>
  <si>
    <t>SI_ADJ</t>
  </si>
  <si>
    <t>Điều chỉnh BHXH NV</t>
  </si>
  <si>
    <t>HI_EMP</t>
  </si>
  <si>
    <t>BHYT NV 1.5%</t>
  </si>
  <si>
    <t>MIN([BASIC_SAL], 46800000) * 0.015</t>
  </si>
  <si>
    <t>Không có công thức sống trong sample, là giá trị cố định = MIN(Tổng lương trên HĐLĐ, 46.800.000) × 1.5%  (nguồn: CA9)</t>
  </si>
  <si>
    <t>HI_ADJ</t>
  </si>
  <si>
    <t>Điều chỉnh BHYT NV</t>
  </si>
  <si>
    <t>UI_EMP</t>
  </si>
  <si>
    <t>BHTN NV 1%</t>
  </si>
  <si>
    <t>MIN([BASIC_SAL], 106200000) * 0.01</t>
  </si>
  <si>
    <t>Không có công thức sống trong sample, là giá trị cố định = MIN(Tổng lương trên HĐLĐ, 106.200.000) × 1%  (nguồn: CC9)</t>
  </si>
  <si>
    <t>expath =0</t>
  </si>
  <si>
    <t>UI_ADJ</t>
  </si>
  <si>
    <t>Điều chỉnh BHTN NV</t>
  </si>
  <si>
    <t>TOTAL_INS</t>
  </si>
  <si>
    <t>IS_EMP_TOTAL</t>
  </si>
  <si>
    <t>Tổng BHXH nhân viên</t>
  </si>
  <si>
    <t>[SI_EMP] + [SI_ADJ] + [HI_EMP] + [HI_ADJ] + [UI_EMP] + [UI_ADJ]</t>
  </si>
  <si>
    <t>BHXH 8%(NV) + Đ/C BHXH 8%(NV) + BHYT 1.5%(NV) + Đ/C BHYT 1.5%(NV) + BHTN 1%(NV) + Đ/C BHTN 1%(NV)  (nguồn: CE9)</t>
  </si>
  <si>
    <t>PERSONAL_DED</t>
  </si>
  <si>
    <t>DEDUCT</t>
  </si>
  <si>
    <t>Giảm trừ bản thân</t>
  </si>
  <si>
    <t>IF(Loại hợp đồng="Chính thức": 15.500.000;  (nguồn: CF9)</t>
  </si>
  <si>
    <t>DEPENDENT_CNT</t>
  </si>
  <si>
    <t>Số người phụ thuộc</t>
  </si>
  <si>
    <t>DEPENDENT_DED</t>
  </si>
  <si>
    <t>Giảm trừ gia cảnh NPT</t>
  </si>
  <si>
    <t>[DEPENDENT_CNT] * 6200000</t>
  </si>
  <si>
    <t>Số NPT × 6.200.000  (nguồn: CH9)</t>
  </si>
  <si>
    <t>TOTAL_DED</t>
  </si>
  <si>
    <t>DEDUCT_TOTAL</t>
  </si>
  <si>
    <t>Tổng khoản giảm trừ</t>
  </si>
  <si>
    <t>[PERSONAL_DED] + [DEPENDENT_DED]</t>
  </si>
  <si>
    <t>Giảm trừ bản thân + Giảm trừ gia cảnh  (nguồn: CI9)</t>
  </si>
  <si>
    <t>TAXABLE_INC</t>
  </si>
  <si>
    <t>Thu nhập tính thuế</t>
  </si>
  <si>
    <t>MAX(0, [TAXABLE_GROSS] - [TOTAL_INS] - [TOTAL_DED])</t>
  </si>
  <si>
    <t>MAX(0, Tổng thu nhập chịu thuế − Tổng BHXH của NLĐ − Tổng khoản giảm trừ)  (nguồn: CJ9 — lưu ý: không trừ "Từ thiện" như công thức Structure)</t>
  </si>
  <si>
    <t>PIT</t>
  </si>
  <si>
    <t>Thuế TNCN</t>
  </si>
  <si>
    <t>Nước ngoài + k có work permisst → tax = 20% of taxable income
Otherwise (Chính thức) → progressive tax using the standard Vietnamese PIT brackets (0/10/30/60/100 million VND tiers at 5%/10%/15%/20%/25%... via the SUMPRODUCT bracket calculation) 
intern: &gt; 5tr =&gt;tax=10% ; nếu có giấy cam kết thuế = tax = 0</t>
  </si>
  <si>
    <t>?</t>
  </si>
  <si>
    <t>uyên check ;lại với Mắt Bão</t>
  </si>
  <si>
    <t>PIT_ADJ</t>
  </si>
  <si>
    <t>Điều chỉnh thuế TNCN</t>
  </si>
  <si>
    <t>TOTAL_PIT</t>
  </si>
  <si>
    <t>Tổng thuế TNCN đã khấu trừ</t>
  </si>
  <si>
    <t>[PIT] + [PIT_ADJ]</t>
  </si>
  <si>
    <t>Thuế TNCN + Điều chỉnh thuế TNCN  (nguồn: CM9)</t>
  </si>
  <si>
    <t>NET_INCOME</t>
  </si>
  <si>
    <t>Thu nhập thuần</t>
  </si>
  <si>
    <t>[GROSS] - [TOTAL_INS] - [PIT] - [PIT_ADJ]</t>
  </si>
  <si>
    <t>Tổng thu nhập trong tháng − Tổng BHXH của NLĐ − Tổng thuế TNCN đã khấu trừ  (nguồn: CN9)</t>
  </si>
  <si>
    <t>PIT_SETTLE</t>
  </si>
  <si>
    <t>ADD_EXCL_TAX</t>
  </si>
  <si>
    <t>Quyết toán thuế</t>
  </si>
  <si>
    <t>SI_REGIME</t>
  </si>
  <si>
    <t>Chế độ BHXH</t>
  </si>
  <si>
    <t>SEVER_FUND</t>
  </si>
  <si>
    <t>Trợ cấp thôi việc (trích quỹ)</t>
  </si>
  <si>
    <t>SEVER_PAY</t>
  </si>
  <si>
    <t>Trợ cấp thôi việc NĐ 145/2020</t>
  </si>
  <si>
    <t>OTHER_POST_ADD</t>
  </si>
  <si>
    <t>Cộng sau thuế khác</t>
  </si>
  <si>
    <t>TOTAL_POST_ADD</t>
  </si>
  <si>
    <t>ADD_EXCL_TAX_TOTAL</t>
  </si>
  <si>
    <t>Tổng cộng sau thuế</t>
  </si>
  <si>
    <t>[PIT_SETTLE] + [SI_REGIME] + [SEVER_FUND] + [SEVER_PAY] + [OTHER_POST_ADD]</t>
  </si>
  <si>
    <t>Không có cột tổng riêng trong sample - Hoàn quyết toán thuế + Chế độ BHXH + Trợ cấp thôi việc(trước 2009) + Trợ cấp thôi việc NĐ145/2020 + Các khoản cộng sau thuế khác (chỉ cộng gộp ẩn trong Lương thực nhận)</t>
  </si>
  <si>
    <t>UNION_FEE</t>
  </si>
  <si>
    <t>DED_EXCL_TAX</t>
  </si>
  <si>
    <t>Phí công đoàn (0.5%)</t>
  </si>
  <si>
    <t>[BASIC_SAL] * 0.005</t>
  </si>
  <si>
    <t>Không có công thức sống trong sample, là giá trị cố định = Mức lương đóng BHXH, BHYT × 0.5% (KHÔNG phải Tổng lương trên HĐLĐ × 0.5% như Structure)  (nguồn: CT9) + MAX = 253.000</t>
  </si>
  <si>
    <t>BAOVET_INS</t>
  </si>
  <si>
    <t>Thu hộ BH Bảo Việt</t>
  </si>
  <si>
    <t>DEDUCT_LOC</t>
  </si>
  <si>
    <t>Trừ lộc đầu năm</t>
  </si>
  <si>
    <t>PIT_SETTLE_DED</t>
  </si>
  <si>
    <t>Quyết toán thuế (trừ)</t>
  </si>
  <si>
    <t>OTHER_POST_DED</t>
  </si>
  <si>
    <t>Trừ sau thuế khác</t>
  </si>
  <si>
    <t>FAMILY_HEALTH_INS</t>
  </si>
  <si>
    <t>BHSK người thân (cty tài trợ)</t>
  </si>
  <si>
    <t>TOTAL_POST_DED</t>
  </si>
  <si>
    <t>Tổng trừ sau thuế</t>
  </si>
  <si>
    <t>[UNION_FEE] + [BAOVET_INS] + [DEDUCT_LOC] + [PIT_SETTLE_DED] + [OTHER_POST_DED] + [FAMILY_HEALTH_INS]</t>
  </si>
  <si>
    <t>Không có cột tổng riêng trong sample - Phí công đoàn 0.5% + Thu hộ BHBV + Trừ lộc đầu năm + Thu thêm quyết toán thuế + Các khoản trừ sau thuế khác + Các khoản trừ sau thuế khác(BHSK) (chỉ cộng gộp ẩn trong Lương thực nhận)</t>
  </si>
  <si>
    <t>NET_PAY</t>
  </si>
  <si>
    <t>Lương thực nhận (VND)</t>
  </si>
  <si>
    <t>[GROSS] - [TOTAL_INS] - [TOTAL_PIT] - [TOTAL_POST_DED] + [TOTAL_POST_ADD]</t>
  </si>
  <si>
    <t>Thu nhập thuần + (Hoàn quyết toán thuế + Chế độ BHXH + Trợ cấp thôi việc(trước 2009) + Trợ cấp thôi việc NĐ145/2020 + Các khoản cộng sau thuế khác) − (Phí công đoàn 0.5% + Thu hộ BHBV + Trừ lộc đầu năm + Thu thêm quyết toán thuế + Các khoản trừ sau thuế khác + Các khoản trừ sau thuế khác(BHSK))  (nguồn: CZ9)</t>
  </si>
  <si>
    <t>[GROSS] - [TOTAL_INS] - [PIT] - [PIT_ADJ]+ TOTAL_POST_ADD - TOTAL_POST_DED</t>
  </si>
  <si>
    <t>NET_PAY_HOME</t>
  </si>
  <si>
    <t>Lương thực chi (VND)</t>
  </si>
  <si>
    <t>ROUND([NET_PAY],0)</t>
  </si>
  <si>
    <t>ADVANCE_1</t>
  </si>
  <si>
    <t>Tạm ứng / Lương thực chi đợt 1</t>
  </si>
  <si>
    <t>NET_PAY_2</t>
  </si>
  <si>
    <t>Lương thực chi đợt 2</t>
  </si>
  <si>
    <t>[NET_PAY] - [ADVANCE_1]</t>
  </si>
  <si>
    <t>SI_CTY</t>
  </si>
  <si>
    <t>IS_COMP</t>
  </si>
  <si>
    <t>BHXH Cty 17%</t>
  </si>
  <si>
    <t>MIN([BASIC_SAL], 46800000) * 0.17</t>
  </si>
  <si>
    <t>Không có công thức sống trong sample, là giá trị cố định = MIN(Tổng lương trên HĐLĐ, 46.800.000) × 17%  (nguồn: DD9)</t>
  </si>
  <si>
    <t>SI_CTY_ADJ</t>
  </si>
  <si>
    <t>Điều chỉnh BHXH Cty</t>
  </si>
  <si>
    <t>TNLD_CTY</t>
  </si>
  <si>
    <t>BHTNLĐ-BNN Cty 0.5%</t>
  </si>
  <si>
    <t>MIN([BASIC_SAL], 106200000) * 0.005</t>
  </si>
  <si>
    <t>Không có công thức sống trong sample, là giá trị cố định = MIN(Tổng lương trên HĐLĐ, 46.800.000) × 0.5%  (nguồn: DF9)</t>
  </si>
  <si>
    <t>TNLD_CTY_ADJ</t>
  </si>
  <si>
    <t>Điều chỉnh BHTNLĐ Cty</t>
  </si>
  <si>
    <t>HI_CTY</t>
  </si>
  <si>
    <t>BHYT Cty 3%</t>
  </si>
  <si>
    <t>MIN([BASIC_SAL], 46800000) * 0.03</t>
  </si>
  <si>
    <t>Không có công thức sống trong sample, là giá trị cố định = MIN(Tổng lương trên HĐLĐ, 46.800.000) × 3%  (nguồn: DH9)</t>
  </si>
  <si>
    <t>HI_CTY_ADJ</t>
  </si>
  <si>
    <t>Điều chỉnh BHYT Cty</t>
  </si>
  <si>
    <t>UI_CTY</t>
  </si>
  <si>
    <t>BHTN Cty 1%</t>
  </si>
  <si>
    <t>Không có công thức sống trong sample, là giá trị cố định = MIN(Tổng lương trên HĐLĐ, 106.200.000) × 1%  (nguồn: DJ9)</t>
  </si>
  <si>
    <t>UI_CTY_ADJ</t>
  </si>
  <si>
    <t>Điều chỉnh BHTN Cty</t>
  </si>
  <si>
    <t>TOTAL_INS_CTY</t>
  </si>
  <si>
    <t>IS_COMP_TOTAL</t>
  </si>
  <si>
    <t>Tổng BHXH Cty đóng</t>
  </si>
  <si>
    <t>[SI_CTY] + [SI_CTY_ADJ] + [TNLD_CTY] + [TNLD_CTY_ADJ] + [HI_CTY] + [HI_CTY_ADJ] + [UI_CTY] + [UI_CTY_ADJ]</t>
  </si>
  <si>
    <t>BHXH 17% + Đ/C BHXH 17% + BHTNLĐ-BNN 0.5% + Đ/C BHTNLĐ-BNN 0.5% + BHYT 3% + Đ/C BHYT 3% + BHTN 1% + Đ/C BHTN 1%  (nguồn: DL9)</t>
  </si>
  <si>
    <t>KPCD_CTY</t>
  </si>
  <si>
    <t>2% KPCĐ Cty</t>
  </si>
  <si>
    <r>
      <rPr>
        <sz val="10"/>
        <color rgb="FF000000"/>
        <rFont val="Arial"/>
        <family val="2"/>
      </rPr>
      <t>[</t>
    </r>
    <r>
      <rPr>
        <sz val="10"/>
        <color rgb="FFFF0000"/>
        <rFont val="Arial"/>
        <family val="2"/>
      </rPr>
      <t xml:space="preserve">BASIC_SAL] </t>
    </r>
    <r>
      <rPr>
        <sz val="10"/>
        <color rgb="FF000000"/>
        <rFont val="Arial"/>
        <family val="2"/>
      </rPr>
      <t>* 0.02</t>
    </r>
  </si>
  <si>
    <r>
      <rPr>
        <sz val="10"/>
        <color rgb="FF000000"/>
        <rFont val="Arial"/>
        <family val="2"/>
      </rPr>
      <t xml:space="preserve">Không có công thức sống trong sample, là giá trị cố định 
NV chính thức = </t>
    </r>
    <r>
      <rPr>
        <sz val="10"/>
        <color rgb="FFFF0000"/>
        <rFont val="Arial"/>
        <family val="2"/>
      </rPr>
      <t>Mức lương đóng BHXH, BHYT × 2%</t>
    </r>
    <r>
      <rPr>
        <sz val="10"/>
        <color rgb="FF000000"/>
        <rFont val="Arial"/>
        <family val="2"/>
      </rPr>
      <t xml:space="preserve"> (KHÔNG phải Tổng lương trên HĐLĐ × 2% như Structure)  (nguồn: DM9)
</t>
    </r>
    <r>
      <rPr>
        <sz val="10"/>
        <color rgb="FFFF0000"/>
        <rFont val="Arial"/>
        <family val="2"/>
      </rPr>
      <t>Thử việc = 0?</t>
    </r>
  </si>
  <si>
    <t>TOTAL_CTY_COST</t>
  </si>
  <si>
    <t>Tổng chi phí công ty</t>
  </si>
  <si>
    <r>
      <rPr>
        <sz val="10"/>
        <color rgb="FF000000"/>
        <rFont val="Arial"/>
        <family val="2"/>
      </rPr>
      <t>[GROSS] + [TOTAL_INS_CTY] + [KPCD_CTY]</t>
    </r>
  </si>
  <si>
    <r>
      <rPr>
        <sz val="10"/>
        <color rgb="FF000000"/>
        <rFont val="Arial"/>
        <family val="2"/>
      </rPr>
      <t>Tổng BHXH Cty đóng + 2% KPCĐ + Lương thực nhận (VND)  (nguồn: DN9 — lưu ý: dùng "Lương thực nhận" (NET_PAY), không phải "Tổng thu nhập trong tháng" (GROSS) như Structure)</t>
    </r>
  </si>
  <si>
    <t>MST</t>
  </si>
  <si>
    <t>THU NHẬP THÁNG</t>
  </si>
  <si>
    <t>BONUS_SAVE_NEW_YEAR</t>
  </si>
  <si>
    <t>SAVE_BONUS</t>
  </si>
  <si>
    <t>Tết dương lịch 1/1</t>
  </si>
  <si>
    <t>missing fomula</t>
  </si>
  <si>
    <t>BONUS_SAVE_30_04</t>
  </si>
  <si>
    <t>30/4</t>
  </si>
  <si>
    <t>BONUS_SAVE_TRAVEL</t>
  </si>
  <si>
    <t>Du lịch</t>
  </si>
  <si>
    <t>Nếu không có termination: 10tr/12</t>
  </si>
  <si>
    <t>BONUS_SAVE_CTD_DAY</t>
  </si>
  <si>
    <t>Coteccons day</t>
  </si>
  <si>
    <t>BONUS_SAVE_02_09</t>
  </si>
  <si>
    <t>2/9</t>
  </si>
  <si>
    <t>BONUS_SAVE_ADD_2</t>
  </si>
  <si>
    <t>Bổ sung đợt 2</t>
  </si>
  <si>
    <t>BONUS_SAVE_KPI</t>
  </si>
  <si>
    <t>Thưởng KPIs</t>
  </si>
  <si>
    <t>Nếu không có termination: [CONTRACT_TOTAL]/4</t>
  </si>
  <si>
    <t>lấy lương  chính thức luôn</t>
  </si>
  <si>
    <t>BONUS_SAVE_13M</t>
  </si>
  <si>
    <t>Nếu không có termination: [CONTRACT_TOTAL]/12</t>
  </si>
  <si>
    <t>BONUS_SAVE_TET</t>
  </si>
  <si>
    <t>Thưởng Âm lịch</t>
  </si>
  <si>
    <t>Nếu không có termination: min([CONTRACT_TOTAL], 15.000.000)/12</t>
  </si>
  <si>
    <t>BUDGET_SAVE</t>
  </si>
  <si>
    <t>Check budget</t>
  </si>
  <si>
    <t>=[TOTAL_CTY_COST] + [BONUS_SAVE_TRAVEL] + [BONUS_SAVE_KPI] + [BONUS_SAVE_13M] + [BONUS_SAVE_TET]</t>
  </si>
  <si>
    <t>Công chuẩn VP</t>
  </si>
  <si>
    <t>Ngày bắt đầu</t>
  </si>
  <si>
    <t>DD/MM/YYYY</t>
  </si>
  <si>
    <t>Công chuẩn CT</t>
  </si>
  <si>
    <t>Ngày kết thúc</t>
  </si>
  <si>
    <t>CTD BẢNG LƯƠNG THÁNG MM/YYYY</t>
  </si>
  <si>
    <t>Điều chỉnh lương bổ nhiệm chính thức</t>
  </si>
  <si>
    <t>Add PC trách nhiệm Quyền</t>
  </si>
  <si>
    <t xml:space="preserve">STT </t>
  </si>
  <si>
    <t>STT  (theo phòng ban)</t>
  </si>
  <si>
    <t>VP/CT</t>
  </si>
  <si>
    <t>MÃ KIỂM TOÁN</t>
  </si>
  <si>
    <t>MÃ SỐ NHÂN VIÊN</t>
  </si>
  <si>
    <t>TÊN NHÂN VIÊN</t>
  </si>
  <si>
    <t>Quốc tịch</t>
  </si>
  <si>
    <t>MÃ WSB PHÒNG BAN BỔ CHI PHÍ</t>
  </si>
  <si>
    <t>TÊN PHÒNG BAN 
BỔ CHI PHÍ</t>
  </si>
  <si>
    <t>BỘ PHẬN</t>
  </si>
  <si>
    <t>CHỨC DANH</t>
  </si>
  <si>
    <t>NGẠCH - BẬC</t>
  </si>
  <si>
    <t>LOẠI HỢP ĐỒNG</t>
  </si>
  <si>
    <t>NGÀY VÀO LÀM</t>
  </si>
  <si>
    <t>NGÀY KẾT THÚC THỬ VIỆC</t>
  </si>
  <si>
    <t>NGÀY NGHỈ VIỆC</t>
  </si>
  <si>
    <t>MỨC LƯƠNG HỢP ĐỒNG</t>
  </si>
  <si>
    <t>MỨC LƯƠNG ĐÓNG
BHXH, BHYT</t>
  </si>
  <si>
    <t>MỨC LƯƠNG
 ĐÓNG BHTN</t>
  </si>
  <si>
    <t>CÔNG CHUẨN</t>
  </si>
  <si>
    <t>CÁC NGÀY CÔNG TRONG THÁNG</t>
  </si>
  <si>
    <t>LƯƠNG THỰC TẾ</t>
  </si>
  <si>
    <t>PHỤ CẤP TÍNH THUẾ</t>
  </si>
  <si>
    <t>PHỤ CẤP KHÔNG TÍNH THUẾ</t>
  </si>
  <si>
    <t>TĂNG CA</t>
  </si>
  <si>
    <t xml:space="preserve">CÁC LOẠI THƯỞNG </t>
  </si>
  <si>
    <t>KHOẢN THU NHẬP KHÁC NGOÀI LƯƠNG</t>
  </si>
  <si>
    <t>CÁC LOẠI TRỢ CẤP KHÁC</t>
  </si>
  <si>
    <t>CÁC KHOẢN HỖ TRỢ
Chi phí BHSK công ty tài trợ</t>
  </si>
  <si>
    <t>ĐIỀU CHỈNH TRƯỚC THUẾ</t>
  </si>
  <si>
    <t>TỪ THIỆN</t>
  </si>
  <si>
    <t>TỔNG THU NHẬP TRONG THÁNG</t>
  </si>
  <si>
    <t>TỔNG THU NHẬP CHỊU THUẾ</t>
  </si>
  <si>
    <t>BHXH TRÍCH ĐÓNG NHÂN VIÊN</t>
  </si>
  <si>
    <t>GIẢM TRỪ GIA CẢNH</t>
  </si>
  <si>
    <t>THU NHẬP TÍNH THUẾ</t>
  </si>
  <si>
    <t>THUẾ TNCN</t>
  </si>
  <si>
    <t>ĐIỀU CHỈNH THUẾ TNCN</t>
  </si>
  <si>
    <t>TỔNG THUẾ TNCN ĐÃ KHẤU TRỪ</t>
  </si>
  <si>
    <t>THU NHẬP THUẦN</t>
  </si>
  <si>
    <t>CÁC KHOẢN CỘNG SAU THUẾ</t>
  </si>
  <si>
    <t>CÁC KHOẢN TRỪ SAU THUẾ</t>
  </si>
  <si>
    <t>LƯƠNG THỰC NHẬN</t>
  </si>
  <si>
    <t>LƯƠNG THỰC CHI</t>
  </si>
  <si>
    <t>CHI PHÍ CÔNG TY</t>
  </si>
  <si>
    <t>TRÍCH THƯỞNG HÀNG THÁNG</t>
  </si>
  <si>
    <t>Nhóm chức danh</t>
  </si>
  <si>
    <t>Profits Center</t>
  </si>
  <si>
    <t>Cost Center</t>
  </si>
  <si>
    <t>WBS</t>
  </si>
  <si>
    <t>Funds Center</t>
  </si>
  <si>
    <t>Phụ cấp trách nhiệm bổ sung (Back date)</t>
  </si>
  <si>
    <t>Phụ cấp Trách nhiệm</t>
  </si>
  <si>
    <t>Ngày làm việc thực tế -Thử việc</t>
  </si>
  <si>
    <t>Ngày làm việc thực tế-Sau thử việc</t>
  </si>
  <si>
    <t>Ngày nghỉ lễ, tết</t>
  </si>
  <si>
    <t>Ngày nghỉ bù</t>
  </si>
  <si>
    <t>Nghỉ có hưởng lương</t>
  </si>
  <si>
    <t>Ngày nghỉ chế độ (ma chay, hiếu hỉ)</t>
  </si>
  <si>
    <t>Ngày nghỉ không lương</t>
  </si>
  <si>
    <t>Ngày chế độ BHXH</t>
  </si>
  <si>
    <t>Ngày công bổ sung</t>
  </si>
  <si>
    <t>Ngày phép tồn</t>
  </si>
  <si>
    <t>Tổng số ngày làm việc hưởng lương</t>
  </si>
  <si>
    <t>Lương Thử việc</t>
  </si>
  <si>
    <t>Phụ cấp cơm</t>
  </si>
  <si>
    <t>Phụ cấp điện thoại</t>
  </si>
  <si>
    <t>Phụ cấp 
NL/ Xăng</t>
  </si>
  <si>
    <t>Phụ cấp đi lại</t>
  </si>
  <si>
    <t>Phụ cấp nhà ở</t>
  </si>
  <si>
    <t>Phụ cấp khác</t>
  </si>
  <si>
    <t>CHỊU THUẾ</t>
  </si>
  <si>
    <t>KHÔNG CHỊU THUẾ</t>
  </si>
  <si>
    <t>TẾT ÂM LỊCH</t>
  </si>
  <si>
    <t>THƯỞNG
30/04</t>
  </si>
  <si>
    <t>COTECCONS DAY</t>
  </si>
  <si>
    <t>THƯỞNG
02/09</t>
  </si>
  <si>
    <t>THƯỞNG VĂN PHÒNG/KPIs</t>
  </si>
  <si>
    <t>LƯƠNG THÁNG 13</t>
  </si>
  <si>
    <t>TẾT DƯƠNG LỊCH</t>
  </si>
  <si>
    <t>THƯỞNG DỰ ÁN</t>
  </si>
  <si>
    <t>CÁ NHÂN SUẤT XẮC</t>
  </si>
  <si>
    <t>LỘC ĐẦU NĂM</t>
  </si>
  <si>
    <t>THƯỞNG KHÁC</t>
  </si>
  <si>
    <t>DU LỊCH</t>
  </si>
  <si>
    <t>TRỢ CẤP NGHỈ VIỆC</t>
  </si>
  <si>
    <t>TRỢ CẤP KHÁC</t>
  </si>
  <si>
    <t>ĐIỀU CHỈNH CỘNG</t>
  </si>
  <si>
    <t>ĐIỀU CHỈNH TRỪ</t>
  </si>
  <si>
    <t>BHXH
8%</t>
  </si>
  <si>
    <t>Đ/C BHXH
8%</t>
  </si>
  <si>
    <t>BHYT
1.5%</t>
  </si>
  <si>
    <t>Đ/C BHYT
1.5%</t>
  </si>
  <si>
    <t>BHTN
1%</t>
  </si>
  <si>
    <t>Đ/C BHTN
1%</t>
  </si>
  <si>
    <t>Tổng BHXH của NLĐ</t>
  </si>
  <si>
    <t>GIẢM TRỪ BẢN THÂN</t>
  </si>
  <si>
    <t>SỐ NPT</t>
  </si>
  <si>
    <t>TỔNG KHOẢN GIẢM TRỪ</t>
  </si>
  <si>
    <t>HOÀN QUYẾT TOÁN THUẾ</t>
  </si>
  <si>
    <t>CHẾ ĐỘ BHXH</t>
  </si>
  <si>
    <t>TRỢ CẤP THÔI VIỆC
(Trích quỹ)</t>
  </si>
  <si>
    <t>TRỢ CẤP THÔI VIỆC NĐ 145/2020</t>
  </si>
  <si>
    <t>CÁC KHOẢN CỘNG SAU THUẾ KHÁC</t>
  </si>
  <si>
    <r>
      <t xml:space="preserve">PHÍ CÔNG ĐOÀN </t>
    </r>
    <r>
      <rPr>
        <b/>
        <sz val="11"/>
        <color rgb="FF3333FF"/>
        <rFont val="Lexend Deca Light"/>
      </rPr>
      <t>0.5%</t>
    </r>
  </si>
  <si>
    <t>THU HỘ BẢO HIỂM BẢO VIỆT</t>
  </si>
  <si>
    <t>TRỪ LỘC ĐẦU NĂM</t>
  </si>
  <si>
    <t>QUYẾT TOÁN THUẾ</t>
  </si>
  <si>
    <t>Các khoản trừ sau thuế khác
(Phí bồi hoàn khóa đào tạo, cá nhân xuất sắc)</t>
  </si>
  <si>
    <t>Các khoản trừ sau thuế khác (BHSK ng thân cty tài trợ)</t>
  </si>
  <si>
    <t>VND</t>
  </si>
  <si>
    <t>USD</t>
  </si>
  <si>
    <t>GHI CHÚ</t>
  </si>
  <si>
    <t>BHXH 
17%</t>
  </si>
  <si>
    <t>Đ/C BHXH 
17%</t>
  </si>
  <si>
    <t>BHTNLĐ-BNN 
0,5%</t>
  </si>
  <si>
    <t>Đ/C BHTNLĐ-BNN
0,5%</t>
  </si>
  <si>
    <t>BHYT
3%</t>
  </si>
  <si>
    <t>Đ/C BHYT
3%</t>
  </si>
  <si>
    <t>2% KPCĐ</t>
  </si>
  <si>
    <t>Bổ sung
 đợt 2</t>
  </si>
  <si>
    <t xml:space="preserve">Check </t>
  </si>
  <si>
    <t>Check headcount bảng công</t>
  </si>
  <si>
    <t>Giới tính (để báo cáo)</t>
  </si>
  <si>
    <t>NPT 01/2026</t>
  </si>
  <si>
    <t>OFF-BOARDING</t>
  </si>
  <si>
    <t>Ghi chú tuyển dụng/ luân chuyển</t>
  </si>
  <si>
    <t>Email NV mới gửi Payslip</t>
  </si>
  <si>
    <t>Nhận thưởng QS Retention 12/2025</t>
  </si>
  <si>
    <t>Ngày hiệu lực thêm
PC trách nhiệm</t>
  </si>
  <si>
    <t>Ghi chú hiệu lực PC trách nhiệm</t>
  </si>
  <si>
    <t>Ngày hiệu lực ĐCL lương</t>
  </si>
  <si>
    <t>Điều chỉnh lương
CÔNG TY</t>
  </si>
  <si>
    <t>Lương trước điều chỉnh</t>
  </si>
  <si>
    <t>PC trách nhiệm trước điều chỉnh</t>
  </si>
  <si>
    <t>% điều chỉnh lương</t>
  </si>
  <si>
    <t>Điều chỉnh lương trong tháng</t>
  </si>
  <si>
    <t>Ghi chú điều chỉnh/bổ sung trong tháng</t>
  </si>
  <si>
    <t>Công thức tính PIT hàm IF</t>
  </si>
  <si>
    <t>Check</t>
  </si>
  <si>
    <t>Level Payroll 01/2026</t>
  </si>
  <si>
    <t>Level sau MYR</t>
  </si>
  <si>
    <t>vd kì lương tháng 1</t>
  </si>
  <si>
    <t>fml</t>
  </si>
  <si>
    <t>VP301</t>
  </si>
  <si>
    <t xml:space="preserve"> </t>
  </si>
  <si>
    <t>Chính thức</t>
  </si>
  <si>
    <t>Bùi Ngọc Kim</t>
  </si>
  <si>
    <t>Nam</t>
  </si>
  <si>
    <t>Mức trần 50,600,000</t>
  </si>
  <si>
    <t>Mức trần 106,200,000</t>
  </si>
  <si>
    <t>đếm ngày TV</t>
  </si>
  <si>
    <t>đếm ngày chính thức</t>
  </si>
  <si>
    <t>= ngày thử việc* lương thử việc (bao gồm ngày đi làm + ngày nghỉ hưởng lương của Tgian thử việc)</t>
  </si>
  <si>
    <t>= ngày chính thức* lương chính thức (bao gồm ngày đi làm + ngày nghỉ hưởng lương của Tgian CThuc)
Bổ nhiệm: nếu có 2 mức lương khác nhau trong kỳ lương thì tính theo 2 gdoan</t>
  </si>
  <si>
    <t>=ngày hưởng phụ cấp * Định mức phụ cấp/ngày công chuẩn</t>
  </si>
  <si>
    <t>=ngày phép tồn/ngày công chuẩn * Mức lương</t>
  </si>
  <si>
    <t>=lương thử việc+lương chính thức+phụ cấp trách nhiệm+lương phép tồn
(lưu ý cho nhân sự bổ nhiệm có 2 mức lương)</t>
  </si>
  <si>
    <t>sau khi tính phụ cấp cơm theo rule:
vp: 1b/ngày, site &lt;30km: 2b/ngày, site &gt;=30km: 3b/ngày
--&gt; Phụ cấp cơm còn lại sau khi trừ mức miễn 730k
-- lưu ý nhân sự điều động</t>
  </si>
  <si>
    <t>VP: up duyệt riêng theo tờ trình
CT: L2-L6: 1tr/tháng, lưu ý số ngày đi làm thực tế dưới 14 (mười bốn) ngày, phụ cấp được tính theo tỷ lệ ngày làm việc thực tế và ngày nghỉ lễ trong tháng
-- lưu ý nhân sự điều động</t>
  </si>
  <si>
    <t>Theo quy định, lưu ý số ngày đi làm thực tế dưới 14 (mười bốn) ngày, phụ cấp được tính theo tỷ lệ ngày làm việc thực tế và ngày nghỉ lễ trong tháng
-- lưu ý nhân sự điều động</t>
  </si>
  <si>
    <t>Phụ cấp duyệt riêng theo tờ trình</t>
  </si>
  <si>
    <t>sau khi tính phụ cấp cơm theo rule:
vp: 1b/ngày, site &lt;30km: 2b/ngày, site &gt;=30km: 3b/ngày
--&gt; Phụ cấp cơm &lt;=730k, lấy pc cơm thực tế, ngược lại 730k
-- lưu ý nhân sự điều động</t>
  </si>
  <si>
    <t>Theo level, lưu ý số ngày đi làm thực tế dưới 14 (mười bốn) ngày, phụ cấp được tính theo tỷ lệ ngày làm việc thực tế và ngày nghỉ lễ trong tháng
-- lưu ý nhân sự điều động</t>
  </si>
  <si>
    <t>Tính theo quy định, lưu ý số ngày đi làm thực tế dưới 14 (mười bốn) ngày, phụ cấp được tính theo tỷ lệ ngày làm việc thực tế và ngày nghỉ lễ trong tháng
-- lưu ý nhân sự điều động</t>
  </si>
  <si>
    <t xml:space="preserve">chủ nhật 200%
Ngày nghỉ Lễ, Tết theo quy định của pháp luật: theo list DS: trả thêm 100% tiền lương và ghi nhận 2 ngày nghỉ bù cho mỗi ngày đi làm
Ngày truyền thống, bổ sung, bù: = và ghi nhận nghỉ bù cho mỗi ngày đi làm
</t>
  </si>
  <si>
    <t>Lương bình quân 12 tháng liền kề, ko quá 15 triệu
Mức hưởng = thời gian tính thưởng/365 * định mức</t>
  </si>
  <si>
    <t>Lương bình quân 12 tháng liền kề
Mức hưởng = thời gian tính thưởng/365 * định mức</t>
  </si>
  <si>
    <t>cộng hết thu nhập</t>
  </si>
  <si>
    <t>cộng hết thu nhập chịu thuế</t>
  </si>
  <si>
    <t>=8%* lương bhxh
--NS chính thức
số ngày thử việc, ko lương, thai sản ...&gt;=14 ngày tính từ 1- cuối tháng --ko đóng bhxh</t>
  </si>
  <si>
    <t>=1.5%* lương bhxh
--NS chính thức</t>
  </si>
  <si>
    <t>=1%* lương BHTN
--NS chính thức</t>
  </si>
  <si>
    <t>Bản thân: 15.5 tr
NPT: 6.2 tr/người</t>
  </si>
  <si>
    <t>Thử việc:
VN 10% * tổng TN
NNN 20% * tổng TN
Chính thức: theo thu nhập chịu thuế * biểu lũy tiến</t>
  </si>
  <si>
    <t>=0.5%* lương bhxh, tối đa 234k
--NS chính thức</t>
  </si>
  <si>
    <t>=17%* lương bhxh
--NS chính thức</t>
  </si>
  <si>
    <t>=0.5%* lương bhxh
--NS chính thức</t>
  </si>
  <si>
    <t>=3%* lương bhxh
--NS chính thức</t>
  </si>
  <si>
    <t>=2%* lương bhxh 
--NS chính thức</t>
  </si>
  <si>
    <t>Ngày hưởng lương&gt;0, 6tr : 12</t>
  </si>
  <si>
    <t>Ngày hưởng lương&gt;0, lương HĐLD/Lương TV * 3 : 12</t>
  </si>
  <si>
    <t>Ngày hưởng lương&gt;0, lương HĐLD/Lương TV : 12</t>
  </si>
  <si>
    <t>Ngày hưởng lương&gt;0, nếu lương HĐLD/Lương TV&gt;15tr, 15tr: 12, lương HĐLD/Lương TV :12</t>
  </si>
  <si>
    <t>,35,0</t>
  </si>
  <si>
    <t>.</t>
  </si>
  <si>
    <t>A. THÔNG TIN NHÂN VIÊN/ EMPLOYEE INFORMATION</t>
  </si>
  <si>
    <t>Tên nhân viên/ Full name</t>
  </si>
  <si>
    <t>Lê Văn Biên</t>
  </si>
  <si>
    <t>Loại HĐ/ Type of contract</t>
  </si>
  <si>
    <t>Chính thức/ Labor contract</t>
  </si>
  <si>
    <t>Mã số nhân viên/ Employee code</t>
  </si>
  <si>
    <t>006720</t>
  </si>
  <si>
    <t>Cấp bậc/ Level</t>
  </si>
  <si>
    <t>L6</t>
  </si>
  <si>
    <t>chỉnh ngạch thành cấp bậc</t>
  </si>
  <si>
    <t>Chức danh/ Position</t>
  </si>
  <si>
    <t>Senior Construction Engineer / Giám sát chính Xây dựng</t>
  </si>
  <si>
    <t>Phòng ban/ Department</t>
  </si>
  <si>
    <t>Gia Binh International Airport / Sân bay Quốc tế Gia Bình</t>
  </si>
  <si>
    <t>Số người phụ thuộc/ Number of dependents</t>
  </si>
  <si>
    <t>Người</t>
  </si>
  <si>
    <t>B. THÔNG TIN NGÀY CÔNG/ TIMESHEET INFORMATION</t>
  </si>
  <si>
    <t>Ngày công chuẩn/ Standard working days</t>
  </si>
  <si>
    <t>[0]</t>
  </si>
  <si>
    <t>(Ngày/day)</t>
  </si>
  <si>
    <t>Ngày làm việc thực tế/ Actual working days</t>
  </si>
  <si>
    <t>[1]</t>
  </si>
  <si>
    <t>Ngày làm việc hưởng 70% lương / Working days with 70% salary</t>
  </si>
  <si>
    <t>[2]</t>
  </si>
  <si>
    <t>Ngày nghỉ lễ, tết/ Holidays</t>
  </si>
  <si>
    <t>[3]</t>
  </si>
  <si>
    <t>Ngày nghỉ phép/ Annual leave</t>
  </si>
  <si>
    <t>[4]</t>
  </si>
  <si>
    <t>Ngày nghỉ bù/ Rostered day off</t>
  </si>
  <si>
    <t>[5]</t>
  </si>
  <si>
    <t>Ngày nghỉ chế độ (ma chay, hiếu hỉ)/ Paid leave</t>
  </si>
  <si>
    <t>[6]</t>
  </si>
  <si>
    <t>Ngày nghỉ ốm Công ty/Company sick leave</t>
  </si>
  <si>
    <t>[7]</t>
  </si>
  <si>
    <t>thêm</t>
  </si>
  <si>
    <t>Ngày nghỉ không hưởng lương/ unpaid leave</t>
  </si>
  <si>
    <t>[8]</t>
  </si>
  <si>
    <t>Ngày chế độ BHXH/ SI paid leave</t>
  </si>
  <si>
    <t>[9]</t>
  </si>
  <si>
    <t>Ngày công điều chỉnh/ Adjusted working days</t>
  </si>
  <si>
    <t>Ngày phép tồn/ Leave balance</t>
  </si>
  <si>
    <t>Tổng số ngày làm việc hưởng lương/ Total paid workdays</t>
  </si>
  <si>
    <t>[10]</t>
  </si>
  <si>
    <t>C. THÔNG TIN LƯƠNG, PHỤ CẤP &amp; TRỢ CẤP/ SALARY&amp; ALLOWANCE INFORMATION</t>
  </si>
  <si>
    <t>Lương thử việc/ Probation salary</t>
  </si>
  <si>
    <t>Lương chính thức/ Salary</t>
  </si>
  <si>
    <t>Lương bình quân ngày/ Average salary per day</t>
  </si>
  <si>
    <t>hour nhưng cthuc đang là day</t>
  </si>
  <si>
    <t>Phụ cấp trách nhiệm/ Responsibility Allowance</t>
  </si>
  <si>
    <t xml:space="preserve">Tổng lương thực tế trong tháng/ Total actual salary </t>
  </si>
  <si>
    <t>[11]</t>
  </si>
  <si>
    <t>Phụ cấp/ Allowance</t>
  </si>
  <si>
    <t>Phụ cấp không chịu thuế/ Non-taxable allowance</t>
  </si>
  <si>
    <t>Phụ cấp chịu thuế/ Taxable allowance</t>
  </si>
  <si>
    <t>Phụ cấp cơm/ Meal</t>
  </si>
  <si>
    <t>[12]</t>
  </si>
  <si>
    <t>Phụ cấp điện thoại/ Phone</t>
  </si>
  <si>
    <t>[13]</t>
  </si>
  <si>
    <t>Phụ cấp NL/ Xăng/ Petrol</t>
  </si>
  <si>
    <t>[14]</t>
  </si>
  <si>
    <t>Phụ cấp đi lại/ Travel</t>
  </si>
  <si>
    <t>[15]</t>
  </si>
  <si>
    <t>Phụ cấp nhà ở/ Housing</t>
  </si>
  <si>
    <t>[16]</t>
  </si>
  <si>
    <t>Phụ cấp khác/ Other</t>
  </si>
  <si>
    <t>[17]</t>
  </si>
  <si>
    <r>
      <t>Tổng tiền phụ cấp/ Total Allowance</t>
    </r>
    <r>
      <rPr>
        <sz val="11"/>
        <color theme="1"/>
        <rFont val="Lexend Deca Light"/>
        <family val="2"/>
      </rPr>
      <t xml:space="preserve"> = [12+13+14+15+16+17]</t>
    </r>
  </si>
  <si>
    <t>[18]</t>
  </si>
  <si>
    <t>Tăng ca/ Overtime</t>
  </si>
  <si>
    <t>Số giờ</t>
  </si>
  <si>
    <t>Lương tăng ca không chịu thuế</t>
  </si>
  <si>
    <t>Lương tăng ca chịu thuế</t>
  </si>
  <si>
    <t>Tăng ca ngày thường/ Weekday overtime                     [19]</t>
  </si>
  <si>
    <t>Tăng ca ngày nghỉ/ Weekend overtime                          [20]</t>
  </si>
  <si>
    <t>Tăng ca ngày lễ/ Holiday overtime                                  [21]</t>
  </si>
  <si>
    <t>Tăng ca đêm ngày thường/ Weekday night overtime  [22]</t>
  </si>
  <si>
    <t>Tăng ca đêm ngày nghỉ/ Weekend night overtime       [23]</t>
  </si>
  <si>
    <t>Tăng ca đêm ngày lễ/ Holiday night overtime              [24]</t>
  </si>
  <si>
    <r>
      <t xml:space="preserve">Tổng tiền tăng ca/Total overtime pay [25] </t>
    </r>
    <r>
      <rPr>
        <sz val="11"/>
        <rFont val="Lexend Deca Light"/>
        <family val="2"/>
      </rPr>
      <t>= [19+20+21+22+23+24]</t>
    </r>
  </si>
  <si>
    <t>Tiền thưởng/ Bonus</t>
  </si>
  <si>
    <t>Lương tháng 13/ 13th-month salary</t>
  </si>
  <si>
    <t>[26]</t>
  </si>
  <si>
    <t>Thưởng KPIs/ KPI bonus</t>
  </si>
  <si>
    <t>[27]</t>
  </si>
  <si>
    <t>Thưởng Lễ/ Tết/ Holiday bonus</t>
  </si>
  <si>
    <t>[28]</t>
  </si>
  <si>
    <t>Thưởng văn phòng/ Performance bonus</t>
  </si>
  <si>
    <t>[29]</t>
  </si>
  <si>
    <t>Thưởng công trình (Đột xuất/ Hoàn thành/ Lợi nhuận)/ Site bonus</t>
  </si>
  <si>
    <t>[30]</t>
  </si>
  <si>
    <t>Thưởng khác/ Other</t>
  </si>
  <si>
    <t>[31]</t>
  </si>
  <si>
    <r>
      <t xml:space="preserve">Tổng tiền thưởng/ Total bonus </t>
    </r>
    <r>
      <rPr>
        <sz val="11"/>
        <color theme="1"/>
        <rFont val="Lexend Deca Light"/>
        <family val="2"/>
      </rPr>
      <t>= [26+27+28+29+30+31]</t>
    </r>
  </si>
  <si>
    <t>[32]</t>
  </si>
  <si>
    <t>Các loại trợ cấp/ Other Allowance</t>
  </si>
  <si>
    <t>Trợ cấp nghỉ việc/ Severance allowance</t>
  </si>
  <si>
    <t>[33]</t>
  </si>
  <si>
    <t>Trợ cấp khác/ Other Allowance</t>
  </si>
  <si>
    <t>[34]</t>
  </si>
  <si>
    <t>Teambuilding (nếu có)</t>
  </si>
  <si>
    <t>[35]</t>
  </si>
  <si>
    <t>Nhuận bút (nếu có)</t>
  </si>
  <si>
    <t>Thưởng giới thiệu ứng viên (nếu có)/ Referral bonus (if any)</t>
  </si>
  <si>
    <t>[36]</t>
  </si>
  <si>
    <r>
      <t xml:space="preserve">Hỗ trợ khác (Chi phí BHSK Người thân công ty tài trợ)/ 
</t>
    </r>
    <r>
      <rPr>
        <sz val="10"/>
        <color theme="1"/>
        <rFont val="Lexend Deca Light"/>
      </rPr>
      <t>Other support (Health insurance fee for family sponsored by the company)</t>
    </r>
  </si>
  <si>
    <t>[37]</t>
  </si>
  <si>
    <r>
      <t xml:space="preserve">Tổng trợ cấp/hỗ trợ/ Total allowance </t>
    </r>
    <r>
      <rPr>
        <sz val="11"/>
        <color theme="1"/>
        <rFont val="Lexend Deca Light"/>
        <family val="2"/>
      </rPr>
      <t>= [33+34+35+36+37]</t>
    </r>
  </si>
  <si>
    <t>[38]</t>
  </si>
  <si>
    <t xml:space="preserve">Các khoản điều chỉnh trước thuế/ Adjustments before tax </t>
  </si>
  <si>
    <t>Điều chỉnh cộng/ Addition adjustment</t>
  </si>
  <si>
    <t>[39]</t>
  </si>
  <si>
    <t>Điều chỉnh trừ/ Deduction adjustment</t>
  </si>
  <si>
    <t>[40]</t>
  </si>
  <si>
    <t>Tổng thu nhập/ Total income [41] = [11+18+25+32+38+39+40]</t>
  </si>
  <si>
    <t>Tổng thu nhập không chịu thuế/ Total non-taxable income</t>
  </si>
  <si>
    <t>Tổng thu nhập chịu thuế/ Total taxable income before deduction</t>
  </si>
  <si>
    <t>D. CÁC KHOẢN KHẤU TRỪ/ DEDUCTIONS</t>
  </si>
  <si>
    <t>Các khoản giảm trừ trước thuế/ Pre-tax deductions</t>
  </si>
  <si>
    <t xml:space="preserve">BHXH - NV/ Social Insurance – Employee (8%) </t>
  </si>
  <si>
    <t>[42]</t>
  </si>
  <si>
    <t>BHYT - NV/ Health Insurance – Employee (1.5%)</t>
  </si>
  <si>
    <t>[43]</t>
  </si>
  <si>
    <t>BHTN - NV/ Unemployment Insurance – Employee (1%)</t>
  </si>
  <si>
    <t>[44]</t>
  </si>
  <si>
    <t>Điều chỉnh BHXH (Nếu có)/ Social Insurance adjustment (if any)</t>
  </si>
  <si>
    <t>[45]</t>
  </si>
  <si>
    <r>
      <t xml:space="preserve">Tổng trích đóng BHXH - NV/ </t>
    </r>
    <r>
      <rPr>
        <b/>
        <sz val="10"/>
        <color theme="1"/>
        <rFont val="Lexend Deca Light"/>
      </rPr>
      <t xml:space="preserve">Total Social Insurance contributions - Employee </t>
    </r>
    <r>
      <rPr>
        <sz val="10"/>
        <color theme="1"/>
        <rFont val="Lexend Deca Light"/>
      </rPr>
      <t>=</t>
    </r>
    <r>
      <rPr>
        <sz val="11"/>
        <color theme="1"/>
        <rFont val="Lexend Deca Light"/>
        <family val="2"/>
      </rPr>
      <t xml:space="preserve"> [42+43+44+45]</t>
    </r>
  </si>
  <si>
    <t>[46]</t>
  </si>
  <si>
    <t>Giảm trừ bản thân/ Personal deduction</t>
  </si>
  <si>
    <t>[47]</t>
  </si>
  <si>
    <t>Giảm trừ gia cảnh/ Dependent deduction</t>
  </si>
  <si>
    <t>[48]</t>
  </si>
  <si>
    <r>
      <t xml:space="preserve">Tổng các khoản khấu trừ/ Total deductions </t>
    </r>
    <r>
      <rPr>
        <sz val="11"/>
        <color theme="1"/>
        <rFont val="Lexend Deca Light"/>
        <family val="2"/>
      </rPr>
      <t>= [46+47+48]</t>
    </r>
  </si>
  <si>
    <t>[49]</t>
  </si>
  <si>
    <t>Thuế thu nhập cá nhân/ Personal Income Tax (PIT)</t>
  </si>
  <si>
    <t>Thu nhập tính thuế/ Taxable income</t>
  </si>
  <si>
    <t>[50]</t>
  </si>
  <si>
    <t>Thuế TNCN/ PIT amount</t>
  </si>
  <si>
    <t>[51]</t>
  </si>
  <si>
    <t>Điều chỉnh Thuế TNCN/ PIT adjustment (if any)</t>
  </si>
  <si>
    <t>[52]</t>
  </si>
  <si>
    <t>Tổng thuế TNCN đã khấu trừ/ Total PIT withheld</t>
  </si>
  <si>
    <t>[53]</t>
  </si>
  <si>
    <t>Các khoản giảm trừ sau thuế/ Post-tax deductions</t>
  </si>
  <si>
    <t>Phí công đoàn/ Union fee (1%)</t>
  </si>
  <si>
    <t>[54]</t>
  </si>
  <si>
    <t>Thu hộ Bảo hiểm Bảo Việt/Health insurance collected on behalf</t>
  </si>
  <si>
    <t>[55]</t>
  </si>
  <si>
    <r>
      <t xml:space="preserve">Quyết toán thuế TNCN năm trước (nếu có)/
</t>
    </r>
    <r>
      <rPr>
        <sz val="10"/>
        <color theme="1"/>
        <rFont val="Lexend Deca Light"/>
      </rPr>
      <t>Final settlement of PIT from previous year (if any)</t>
    </r>
  </si>
  <si>
    <t>[56]</t>
  </si>
  <si>
    <t>Khoản trừ sau thuế khác/ Other post-tax deductions</t>
  </si>
  <si>
    <t>[57]</t>
  </si>
  <si>
    <r>
      <t xml:space="preserve">Khoản trừ sau thuế khác (BHSK người thân cty tài trợ) = [37]/
</t>
    </r>
    <r>
      <rPr>
        <sz val="10"/>
        <color rgb="FFFF0000"/>
        <rFont val="Lexend Deca Light"/>
      </rPr>
      <t>Other post-tax deductions (Health insurance for family sponsored by company)</t>
    </r>
  </si>
  <si>
    <t>[58]</t>
  </si>
  <si>
    <r>
      <t>Tổng các khoản trừ sau thuế/Total post-tax deductions</t>
    </r>
    <r>
      <rPr>
        <sz val="10"/>
        <color theme="1"/>
        <rFont val="Lexend Deca Light"/>
        <family val="2"/>
      </rPr>
      <t xml:space="preserve"> </t>
    </r>
    <r>
      <rPr>
        <sz val="11"/>
        <color theme="1"/>
        <rFont val="Lexend Deca Light"/>
        <family val="2"/>
      </rPr>
      <t>= [54+55+56+57+58]</t>
    </r>
  </si>
  <si>
    <t>[59]</t>
  </si>
  <si>
    <t>E. THU NHẬP THỰC NHẬN &amp; ĐIỀU CHỈNH SAU THUẾ/ NET INCOME &amp; POST-TAX ADJUSTMENT</t>
  </si>
  <si>
    <t>Các khoản cộng sau thuế/ Post-tax additions</t>
  </si>
  <si>
    <t>Chế độ BHXH/ Social Insurance benefits</t>
  </si>
  <si>
    <t>[60]</t>
  </si>
  <si>
    <r>
      <t xml:space="preserve">Quyết toán thuế TNCN năm trước/
</t>
    </r>
    <r>
      <rPr>
        <sz val="10"/>
        <color theme="1"/>
        <rFont val="Lexend Deca Light"/>
      </rPr>
      <t>Final settlement of PIT from previous year</t>
    </r>
  </si>
  <si>
    <t>[61]</t>
  </si>
  <si>
    <t>Trợ cấp thôi việc/ Severance allowance</t>
  </si>
  <si>
    <t>[62]</t>
  </si>
  <si>
    <t>Các khoản cộng sau thuế khác/ Other post-tax additions</t>
  </si>
  <si>
    <t>[63]</t>
  </si>
  <si>
    <r>
      <t xml:space="preserve">Tổng các khoản cộng sau thuế/ Total post-tax additions </t>
    </r>
    <r>
      <rPr>
        <sz val="11"/>
        <color theme="1"/>
        <rFont val="Lexend Deca Light"/>
        <family val="2"/>
      </rPr>
      <t>= [60+61+62+63]</t>
    </r>
  </si>
  <si>
    <t>[64]</t>
  </si>
  <si>
    <t>[60+61+62+63]</t>
  </si>
  <si>
    <t>Tiền lương thực nhận/ Net salary = [41-46-53-59+64]</t>
  </si>
  <si>
    <t>[65]</t>
  </si>
  <si>
    <t>Lương tạm ứng Đợt 1/Advance salary Phase 1</t>
  </si>
  <si>
    <t>[66]</t>
  </si>
  <si>
    <t>Lương thưởng Đợt 2/ Salary, bonus Phase 2</t>
  </si>
  <si>
    <t>[67]</t>
  </si>
  <si>
    <r>
      <t>Cảm ơn những đóng góp và nỗ lực của Anh/Chị vào sự phát triển của Công ty.
Thank you for your contributions and efforts to the development of the Company</t>
    </r>
    <r>
      <rPr>
        <sz val="10"/>
        <color rgb="FF3333FF"/>
        <rFont val="Lexend Deca Light"/>
      </rPr>
      <t>.</t>
    </r>
  </si>
  <si>
    <t>Contract type</t>
  </si>
  <si>
    <t>Thử việc</t>
  </si>
  <si>
    <t>Loại</t>
  </si>
  <si>
    <t>Diễn giải</t>
  </si>
  <si>
    <t>Ví dụ</t>
  </si>
  <si>
    <t>Kỳ công</t>
  </si>
  <si>
    <t>Kỳ công tại CTD từ ngày 21 tháng này đến 20 tháng sau</t>
  </si>
  <si>
    <t>Kỳ công tháng 03/2026: từ ngày 21/02/2026 - 20/03/2026</t>
  </si>
  <si>
    <t>Ngày công chuẩn</t>
  </si>
  <si>
    <t>Văn phòng: tính từ ngày 21 - 20, trừ ngày chủ nhật và chiều thứ 7
Công trường: tính từ ngày 21 - 20, trừ ngày chủ nhật.</t>
  </si>
  <si>
    <t>12 ngày/năm, cứ mỗi thời điểm đủ 05 năm làm việc liên tục tại công ty được cộng thêm 1 ngày phép (bao gồm thời gian thử việc)</t>
  </si>
  <si>
    <t>Mỗi tháng làm việc được tính 1 ngày phép. Người lao động làm việc chưa đủ tháng, nếu tổng số ngày làm việc và ngày nghỉ có hưởng lương chiếm tỷ lệ từ 50% trên công chuẩn tháng đó được tính 01 ngày phép trong tháng.</t>
  </si>
  <si>
    <t>Nếu book phép vượt quá số ngày phép định mức hiện có --&gt; có cảnh báo và yêu cầu book trong định mức</t>
  </si>
  <si>
    <t>Nếu quản lý đã duyệt phép và người lao đông muốn hủy? - oke người lao động hủy trên hệ thống + mail cho quản lý</t>
  </si>
  <si>
    <t>Phép tồn</t>
  </si>
  <si>
    <t>Người lao động chưa sử dụng hết thời gian nghỉ hằng năm thì số ngày nghỉ còn lại sẽ được chuyển tiếp sang sử dụng đến hết ngày 31/12 của năm tiếp theo liền kề. Sau thời gian này, số ngày nghỉ hàng năm chưa sử dụng hết trong năm trước đó sẽ bị hủy bỏ và CBNV sẽ không được thanh toán lại bằng tiền.</t>
  </si>
  <si>
    <t>Người lao động làm việc chưa đủ 12 tháng tại Công ty thì số ngày nghỉ hằng năm theo tỷ lệ tương ứng với số tháng làm việc: lấy số ngày nghỉ hằng năm cộng với số ngày được nghỉ tăng thêm theo thâm niên (nếu có), chia cho 12 tháng, nhân với số tháng làm việc thực tế trong năm để tính thành số ngày được nghỉ hằng năm.</t>
  </si>
  <si>
    <t>CBNV đã ký hợp đồng lao động: Nghỉ việc được tổng hợp ngày phép tồn để tính lương phép</t>
  </si>
  <si>
    <t>CBNV đang thử việc: Nghỉ việc clear phép tồn, không tính lương phép tồn (được sử dụng trong thời gian thử việc nhưng ko dc tính phép tồn)</t>
  </si>
  <si>
    <t>Khi Người lao động có nhu cầu nghỉ không hưởng lương để giải quyết việc riêng, Người lao động có thể gửi đơn trình bày lý do chính đáng, hợp lý lên các cấp Quản lý và Phòng Nhân sự - Tổng hợp xem xét giải quyết. Tùy trường hợp cụ thể mà Công ty có thể xem xét, quyết định giải quyết cho Người lao động được nghỉ không hưởng lương theo đơn xin nghỉ. Trong trường hợp này, Người lao động chỉ được nghỉ không hưởng lương khi đã có phê duyệt của Phòng Nhân sự - Tổng hợp &amp; các cấp Quản lý theo phân quyền phê duyệt</t>
  </si>
  <si>
    <t>Nghỉ ốm (BHXH)</t>
  </si>
  <si>
    <t>Show Quy định BHXH để hướng dẫn book ốm
+ Lương hưởng: 75% lương bình quân đóng BHXH 6 tháng liền kề</t>
  </si>
  <si>
    <t>Con ốm:
- Tối đa 20 ngày làm việc/năm nếu con &lt; 3 tuổi
- Tối đa 15 ngày làm việc/năm nếu con từu đủ 3 tuổi đến dưới 7 tuổi</t>
  </si>
  <si>
    <t>Bản thân ốm
+ Tối đa 30 ngày/năm, nếu đã đóng BHXH dưới 15 năm;
+ Tối đa 40 ngày/năm, nếu đã đóng BHXH từ đủ 15 năm đến dưới 30 năm;
+ Tối đa 60 ngày/năm, nếu đã đóng BHXH từ đủ 30 năm trở lên;</t>
  </si>
  <si>
    <t>Hồ sơ nghỉ hưởng:
+ nội trú: Giấy ra viện.
+ ngoại trú: Giấy nghỉ hưởng BHXH.</t>
  </si>
  <si>
    <t>Nghỉ ốm (Công ty)</t>
  </si>
  <si>
    <t>Định mức 03 ngày/năm dương lịch, mỗi lần nghỉ được book tối đa 01 ngày.
Hết năm dương lịch hệ thống tự clear (không cộng dồn)</t>
  </si>
  <si>
    <t>Nghỉ thai sản</t>
  </si>
  <si>
    <t>Show quy định BHXH - hưởng 100% lương bình quân đóng BHXH 6 tháng liền kề.
Lao động nam nghỉ (được nghỉ trong vòng 60 ngày đầu kể từ ngày vợ của Người lao động sinh con):
+ 05 ngày làm việc - vợ sinh thường 01 con;
+ 07 ngày làm việc khi vợ sinh con phải phẫu thuật, sinh con dưới 32 tuần tuổi;
+ Trường hợp vợ sinh đôi thì được nghỉ 10 ngày làm việc, từ sinh ba trở lên thì cứ thêm mỗi con được nghỉ thêm 03 (ba) ngày làm việc; hoặc
Trường hợp vợ sinh đôi trở lên mà phải phẫu thuật thì được nghỉ 14 (mười bốn) ngày làm việc.</t>
  </si>
  <si>
    <t>Lao động nữ đẻ con: nghỉ 6 tháng. (nộp đơn trc 1 tháng)
Lao động nữ khám thai: tối đa 02 ngày/lần, tối đa 10 ngày/thai kỳ</t>
  </si>
  <si>
    <t>Hồ sơ nghỉ hưởng:
+ Nam nghỉ: Giấy khai sinh/giấy chứng sinh thể hiện tên cha bản gốc hoặc sao y công chứng (nếu nghỉ 07 ngày thì có thêm giấy ra viện công chứng/bản gốc thể hiện sinh mổ)
+ Nữ khám thai: giấy chứng nhận nghỉ việc hưởng bảo hiểm xã hội
+ Nữ sinh con: Giấy khai sinh/giấy chứng sinh bản gốc hoặc sao y công chứng</t>
  </si>
  <si>
    <t>Nghỉ việc riêng có hưởng lương</t>
  </si>
  <si>
    <r>
      <t xml:space="preserve">Show Định mức, công ty chi trả và cho book tối đa:
+ Bản thân Người lao động kết hôn nghỉ </t>
    </r>
    <r>
      <rPr>
        <b/>
        <sz val="10"/>
        <color theme="1"/>
        <rFont val="Lexend Deca Light"/>
      </rPr>
      <t>03</t>
    </r>
    <r>
      <rPr>
        <sz val="10"/>
        <color theme="1"/>
        <rFont val="Lexend Deca Light"/>
      </rPr>
      <t xml:space="preserve"> ngày
+ Con đẻ, con nuôi kết hôn nghỉ </t>
    </r>
    <r>
      <rPr>
        <b/>
        <sz val="10"/>
        <color theme="1"/>
        <rFont val="Lexend Deca Light"/>
      </rPr>
      <t>01</t>
    </r>
    <r>
      <rPr>
        <sz val="10"/>
        <color theme="1"/>
        <rFont val="Lexend Deca Light"/>
      </rPr>
      <t xml:space="preserve"> ngày
+ Tang chế Cha đẻ, mẹ đẻ, cha nuôi, mẹ nuôi; cha đẻ, mẹ đẻ, cha nuôi, mẹ nuôi của vợ hoặc chồng; vợ hoặc chồng; con đẻ, con nuôi chết nghỉ </t>
    </r>
    <r>
      <rPr>
        <b/>
        <sz val="10"/>
        <color theme="1"/>
        <rFont val="Lexend Deca Light"/>
      </rPr>
      <t>03</t>
    </r>
    <r>
      <rPr>
        <sz val="10"/>
        <color theme="1"/>
        <rFont val="Lexend Deca Light"/>
      </rPr>
      <t xml:space="preserve"> ngày</t>
    </r>
  </si>
  <si>
    <r>
      <t xml:space="preserve">Trường hợp đi làm ngày nghỉ lễ (1) và được sắp xếp nghỉ bù --&gt; cho theo dõi và khi nghỉ bù thì trừ dần. 
Định mức nghỉ bù được cộng dồn từ những ngày đi làm lễ, tết:
'Ngày nghỉ Lễ, Tết theo quy định của pháp luật:
- Được trả thêm 100% tiền lương cho ngày làm Lễ, Tết.
- Được bố trí </t>
    </r>
    <r>
      <rPr>
        <b/>
        <sz val="10"/>
        <color theme="1"/>
        <rFont val="Lexend Deca Light"/>
      </rPr>
      <t>02 ngày nghỉ bù</t>
    </r>
    <r>
      <rPr>
        <sz val="10"/>
        <color theme="1"/>
        <rFont val="Lexend Deca Light"/>
      </rPr>
      <t xml:space="preserve"> hưởng nguyên lương cho mỗi ngày làm việc.
Ngày truyền thống Công ty (Coteccons Day), ngày nghỉ bổ sung do Công ty quyết định, ngày nghỉ bù do Lễ/Tết trùng vào ngày nghỉ hằng tuần: Được bố trí </t>
    </r>
    <r>
      <rPr>
        <b/>
        <sz val="10"/>
        <color theme="1"/>
        <rFont val="Lexend Deca Light"/>
      </rPr>
      <t>01 ngày nghỉ bù</t>
    </r>
    <r>
      <rPr>
        <sz val="10"/>
        <color theme="1"/>
        <rFont val="Lexend Deca Light"/>
      </rPr>
      <t xml:space="preserve"> hưởng nguyên lương cho mỗi ngày làm việc.</t>
    </r>
  </si>
  <si>
    <t>Nghỉ lễ (1)</t>
  </si>
  <si>
    <r>
      <t xml:space="preserve">- Cho set tự động
+ ngày 01 tháng 01 dương lịch
+ 05 ngày: </t>
    </r>
    <r>
      <rPr>
        <sz val="10"/>
        <color rgb="FFFF0000"/>
        <rFont val="Lexend Deca Light"/>
      </rPr>
      <t>29 - 4/1 âm lịch (hoặc từ ngày 1/1-5/1 âm lịch)</t>
    </r>
    <r>
      <rPr>
        <sz val="10"/>
        <color theme="1"/>
        <rFont val="Lexend Deca Light"/>
      </rPr>
      <t xml:space="preserve">
+ Ngày Chiến thắng: 01 ngày 30/04
+ Ngày Quốc tế lao động: 01 ngày 1/5
+ Ngày Quốc khánh: 01 ngày 02/09 (thêm 1 ngày 01/09 hoặc 03/09)
+ Ngày Giỗ Tổ Hùng Vương: 01 ngày 10/03 </t>
    </r>
    <r>
      <rPr>
        <sz val="10"/>
        <color rgb="FFFF0000"/>
        <rFont val="Lexend Deca Light"/>
      </rPr>
      <t>âm lịch</t>
    </r>
    <r>
      <rPr>
        <sz val="10"/>
        <color theme="1"/>
        <rFont val="Lexend Deca Light"/>
      </rPr>
      <t xml:space="preserve">
- Nếu cần chỉnh TRs vào chỉnh</t>
    </r>
  </si>
  <si>
    <t>Đăng ký đi làm lễ</t>
  </si>
  <si>
    <t>Vào các ngày nghỉ lễ (1), nếu NLĐ đi làm thì cho đăng ký đi làm, cho phép NLĐ đăng ký/Thư ký import file --&gt; trưởng bộ phận duyệt --&gt; gửi về HR</t>
  </si>
  <si>
    <t>Url</t>
  </si>
  <si>
    <t>Agile</t>
  </si>
  <si>
    <t>What is Agile?</t>
  </si>
  <si>
    <t>PGP Encryption</t>
  </si>
  <si>
    <t>What is PGP encryption?</t>
  </si>
  <si>
    <t>Methodology: Agile</t>
  </si>
  <si>
    <t>Sprint lenght: 2 weeks</t>
  </si>
  <si>
    <t xml:space="preserve">Sprint events: 1.Grooming 2. Review and Planning </t>
  </si>
  <si>
    <t>Dev - QCs events: 1. Kickoff 2. Demo</t>
  </si>
  <si>
    <t xml:space="preserve">Sprint Start: </t>
  </si>
  <si>
    <t>Management Tool: Atlassian JIRA</t>
  </si>
  <si>
    <t>Progressive TaxTable</t>
  </si>
  <si>
    <t>Tax rate</t>
  </si>
  <si>
    <t>From</t>
  </si>
  <si>
    <t>To</t>
  </si>
  <si>
    <t>Diff_Amount</t>
  </si>
  <si>
    <t xml:space="preserve">result=int((categories['ACCESSIBLE_INCOME']&gt;100000000 and categories['ACCESSIBLE_INCOME']*0.35-14500000 or categories['ACCESSIBLE_INCOME']&gt;60000000 and categories['ACCESSIBLE_INCOME']*0.3-9500000 or categories['ACCESSIBLE_INCOME']&gt;30000000 and categories['ACCESSIBLE_INCOME']*0.2-3500000 or categories['ACCESSIBLE_INCOME']&gt;10000000 and categories['ACCESSIBLE_INCOME']*0.1-500000 or categories['ACCESSIBLE_INCOME']&gt;0 and categories['ACCESSIBLE_INCOME']*0.05 or 0)+0.5000001) </t>
  </si>
  <si>
    <t>What to demand BEFORE accepting</t>
  </si>
  <si>
    <t>1. Knowledge Capture/Document request from the Current Dev</t>
  </si>
  <si>
    <t>Item</t>
  </si>
  <si>
    <t>Why</t>
  </si>
  <si>
    <t>Reviewer</t>
  </si>
  <si>
    <t>Provided on</t>
  </si>
  <si>
    <t>Reviewed on</t>
  </si>
  <si>
    <t>Assessment point</t>
  </si>
  <si>
    <t>Codebase walkthrough (recorded)/tech stack/FE/BE</t>
  </si>
  <si>
    <t>Only source of truth right now</t>
  </si>
  <si>
    <t>High</t>
  </si>
  <si>
    <t>Data model / DB schema</t>
  </si>
  <si>
    <t>Core of any payroll engine</t>
  </si>
  <si>
    <t>Database/ Application/ Source code storage for each env</t>
  </si>
  <si>
    <t>As-is/To-be flow</t>
  </si>
  <si>
    <t>To define what is a need and the ultimate goal</t>
  </si>
  <si>
    <t>Business logic mapping (Excel → code)</t>
  </si>
  <si>
    <t>Most critical, hardest to reverse-engineer</t>
  </si>
  <si>
    <t>Edge cases &amp; known bugs</t>
  </si>
  <si>
    <t>Hidden landmines</t>
  </si>
  <si>
    <t>Medium</t>
  </si>
  <si>
    <t>Assumption Log</t>
  </si>
  <si>
    <t>What rules were assumed during build to be review and standard to user's test and GTM</t>
  </si>
  <si>
    <t>Current deployment setup</t>
  </si>
  <si>
    <t>Avoid "works on my machine"</t>
  </si>
  <si>
    <t>Any hardcoded CTD-specific configs</t>
  </si>
  <si>
    <t>Must be separated before Phase 2</t>
  </si>
  <si>
    <t>Payroll calculation formula walkthrough (step by step, not just code)</t>
  </si>
  <si>
    <r>
      <t xml:space="preserve">Code alone doesn't tell you the </t>
    </r>
    <r>
      <rPr>
        <i/>
        <sz val="11"/>
        <color theme="1"/>
        <rFont val="Calibri"/>
        <family val="2"/>
        <scheme val="minor"/>
      </rPr>
      <t>intent</t>
    </r>
    <r>
      <rPr>
        <sz val="11"/>
        <color theme="1"/>
        <rFont val="Calibri"/>
        <family val="2"/>
        <scheme val="minor"/>
      </rPr>
      <t xml:space="preserve"> behind the math — especially for PIT &amp; BHXH</t>
    </r>
  </si>
  <si>
    <t>External dependencies / 3rd party integrations</t>
  </si>
  <si>
    <t>Are there any APIs, services, or external tools the system relies on? Must know before handover</t>
  </si>
  <si>
    <t>Access &amp; credentials handover (DB, server, env files)</t>
  </si>
  <si>
    <t>Often forgotten until it blocks the new team completely</t>
  </si>
  <si>
    <t>User manual / how CTD currently uses the system</t>
  </si>
  <si>
    <t>Environment setup guide</t>
  </si>
  <si>
    <t>Avg score</t>
  </si>
  <si>
    <t>=avg assessment point x weight of priority</t>
  </si>
  <si>
    <t>2. Gap Analysis — What The Team Needs to Add</t>
  </si>
  <si>
    <t>Gap</t>
  </si>
  <si>
    <t>Impact</t>
  </si>
  <si>
    <t>Action</t>
  </si>
  <si>
    <t>PIC</t>
  </si>
  <si>
    <t>No BA</t>
  </si>
  <si>
    <t>Requirements unclear</t>
  </si>
  <si>
    <t>Assign 1 BA to reverse-document Phase 1</t>
  </si>
  <si>
    <t xml:space="preserve">No technical specs </t>
  </si>
  <si>
    <t>Hard to handover and maintain</t>
  </si>
  <si>
    <t>(a) document current tech stack, (b) Tech Lead reviews and decides what stays vs gets replaced</t>
  </si>
  <si>
    <t>No test suite</t>
  </si>
  <si>
    <t>Can't safely refactor</t>
  </si>
  <si>
    <t>Write regression tests before touching code</t>
  </si>
  <si>
    <t>No product spec for Phase 2</t>
  </si>
  <si>
    <t>Can't scope GTM</t>
  </si>
  <si>
    <t>Run a discovery sprint with stakeholders</t>
  </si>
  <si>
    <t>1 dev bus factor</t>
  </si>
  <si>
    <t>Immediate risk</t>
  </si>
  <si>
    <t>Parallel onboard a 2nd dev during knowledge transfer</t>
  </si>
  <si>
    <t>No separation of CTD-specific logic</t>
  </si>
  <si>
    <t>Blocks Phase 2</t>
  </si>
  <si>
    <t>Identify &amp; modularize configs</t>
  </si>
  <si>
    <t>No version control discipline</t>
  </si>
  <si>
    <t>If there's no branching strategy or commit standards, the 2nd dev onboarding will create conflicts immediately</t>
  </si>
  <si>
    <t>my assumsion so far, can confirm w Hau</t>
  </si>
  <si>
    <t>No staging/UAT environment</t>
  </si>
  <si>
    <t>Payroll cannot be tested in production — a staging environment is non-negotiable</t>
  </si>
  <si>
    <t>Tech lead works w Devs to prep testing env</t>
  </si>
  <si>
    <t>No error handling / audit log</t>
  </si>
  <si>
    <t>When payroll output is wrong, how does anyone know? Needs logging before Phase 2</t>
  </si>
  <si>
    <t>Cấu trúc lương, công thức lương</t>
  </si>
  <si>
    <t>Nếu không được phát triển từ thông tin CnB cung cấp và confirm. Không thể start việc hệ thống tính payroll</t>
  </si>
  <si>
    <t>Assign 1 BA to clear with HC</t>
  </si>
  <si>
    <t>Nếu payroll chỉ là hub, không thực hiện tính toán có thể bỏ qua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</si>
</sst>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3" formatCode="_(* #,##0.00_);_(* \(#,##0.00\);_(* &quot;-&quot;??_);_(@_)"/>
    <numFmt numFmtId="164" formatCode="[$-409]d/mmm/yyyy;@"/>
    <numFmt numFmtId="165" formatCode="_-* #,##0.00\ _₫_-;\-* #,##0.00\ _₫_-;_-* &quot;-&quot;??\ _₫_-;_-@_-"/>
    <numFmt numFmtId="166" formatCode="_(* #,##0_);_(* \(#,##0\);_(* &quot;-&quot;??_);_(@_)"/>
    <numFmt numFmtId="167" formatCode="_-* #,##0.0\ _₫_-;\-* #,##0.0\ _₫_-;_-* &quot;-&quot;??\ _₫_-;_-@_-"/>
    <numFmt numFmtId="168" formatCode="_-* #,##0\ _₫_-;\-* #,##0\ _₫_-;_-* &quot;-&quot;??\ _₫_-;_-@_-"/>
    <numFmt numFmtId="169" formatCode="dd\/mm\/yyyy"/>
    <numFmt numFmtId="170" formatCode="_-* #,##0_-;\-* #,##0_-;_-* &quot;-&quot;??_-;_-@_-"/>
    <numFmt numFmtId="171" formatCode="#,##0.0_);\(#,##0.0\)"/>
    <numFmt numFmtId="172" formatCode="0_);\(0\)"/>
    <numFmt numFmtId="173" formatCode="#,##0.0"/>
    <numFmt numFmtId="174" formatCode="dd/mm/yyyy;@"/>
    <numFmt numFmtId="175" formatCode="mm/yyyy"/>
  </numFmts>
  <fonts count="113">
    <font>
      <sz val="11"/>
      <color theme="1"/>
      <name val="Calibri"/>
      <family val="2"/>
      <scheme val="minor"/>
    </font>
    <font>
      <b/>
      <sz val="11"/>
      <color theme="1"/>
      <name val="Calibri"/>
      <family val="2"/>
      <scheme val="minor"/>
    </font>
    <font>
      <b/>
      <sz val="12"/>
      <color theme="1"/>
      <name val="Calibri"/>
      <family val="2"/>
      <scheme val="minor"/>
    </font>
    <font>
      <sz val="16"/>
      <color rgb="FFFF0000"/>
      <name val="Calibri"/>
      <family val="2"/>
      <scheme val="minor"/>
    </font>
    <font>
      <sz val="11"/>
      <color rgb="FFFF0000"/>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i/>
      <sz val="11"/>
      <color theme="1"/>
      <name val="Calibri"/>
      <family val="2"/>
      <scheme val="minor"/>
    </font>
    <font>
      <i/>
      <sz val="11"/>
      <color rgb="FFFF0000"/>
      <name val="Calibri"/>
      <family val="2"/>
      <scheme val="minor"/>
    </font>
    <font>
      <b/>
      <sz val="13.5"/>
      <color theme="1"/>
      <name val="Calibri"/>
      <family val="2"/>
      <scheme val="minor"/>
    </font>
    <font>
      <b/>
      <sz val="11"/>
      <color rgb="FF000000"/>
      <name val="Calibri"/>
      <family val="2"/>
    </font>
    <font>
      <sz val="11"/>
      <color rgb="FF000000"/>
      <name val="Calibri"/>
      <family val="2"/>
    </font>
    <font>
      <b/>
      <sz val="11"/>
      <color rgb="FFB76E00"/>
      <name val="Calibri"/>
      <family val="2"/>
    </font>
    <font>
      <b/>
      <sz val="11"/>
      <color rgb="FFFFFFFF"/>
      <name val="Calibri"/>
      <family val="2"/>
    </font>
    <font>
      <b/>
      <sz val="11"/>
      <color rgb="FF9C6500"/>
      <name val="Calibri"/>
      <family val="2"/>
    </font>
    <font>
      <b/>
      <sz val="11"/>
      <color rgb="FF1F497D"/>
      <name val="Calibri"/>
      <family val="2"/>
    </font>
    <font>
      <sz val="10"/>
      <color rgb="FF000000"/>
      <name val="Segoe UI"/>
      <charset val="134"/>
    </font>
    <font>
      <b/>
      <sz val="11"/>
      <color rgb="FFFFFFFF"/>
      <name val="Calibri"/>
      <family val="2"/>
      <scheme val="minor"/>
    </font>
    <font>
      <sz val="12"/>
      <color theme="1"/>
      <name val="Calibri"/>
      <family val="2"/>
    </font>
    <font>
      <b/>
      <sz val="16"/>
      <color rgb="FF0070C0"/>
      <name val="Arial"/>
      <family val="2"/>
    </font>
    <font>
      <sz val="10"/>
      <color rgb="FF000000"/>
      <name val="Arial"/>
      <family val="2"/>
    </font>
    <font>
      <b/>
      <sz val="12"/>
      <color rgb="FF0070C0"/>
      <name val="Arial"/>
      <family val="2"/>
    </font>
    <font>
      <sz val="10"/>
      <color rgb="FF000000"/>
      <name val="Arial"/>
      <family val="2"/>
    </font>
    <font>
      <sz val="10"/>
      <color rgb="FFFF0000"/>
      <name val="Arial"/>
      <family val="2"/>
    </font>
    <font>
      <i/>
      <sz val="10"/>
      <color rgb="FF000000"/>
      <name val="Arial"/>
      <family val="2"/>
    </font>
    <font>
      <sz val="10"/>
      <color rgb="FF000000"/>
      <name val="Arial"/>
      <family val="2"/>
    </font>
    <font>
      <b/>
      <sz val="10"/>
      <color rgb="FF000000"/>
      <name val="Arial"/>
      <family val="2"/>
    </font>
    <font>
      <sz val="10"/>
      <color rgb="FFFF0000"/>
      <name val="Arial"/>
      <family val="2"/>
    </font>
    <font>
      <b/>
      <sz val="10"/>
      <color rgb="FFFF0000"/>
      <name val="Arial"/>
      <family val="2"/>
    </font>
    <font>
      <b/>
      <sz val="11"/>
      <color theme="7"/>
      <name val="Calibri"/>
      <family val="2"/>
      <scheme val="minor"/>
    </font>
    <font>
      <b/>
      <sz val="10"/>
      <color rgb="FFFFC000"/>
      <name val="Arial"/>
      <family val="2"/>
    </font>
    <font>
      <sz val="11"/>
      <color theme="1"/>
      <name val="Calibri"/>
      <family val="2"/>
      <scheme val="minor"/>
    </font>
    <font>
      <b/>
      <sz val="11"/>
      <color theme="0"/>
      <name val="Lexend Deca Light"/>
    </font>
    <font>
      <sz val="10"/>
      <color theme="1"/>
      <name val="Arial"/>
      <family val="2"/>
    </font>
    <font>
      <b/>
      <sz val="10"/>
      <color theme="1"/>
      <name val="Lexend Deca Light"/>
    </font>
    <font>
      <sz val="11"/>
      <color indexed="8"/>
      <name val="Calibri"/>
      <family val="2"/>
    </font>
    <font>
      <b/>
      <sz val="10"/>
      <name val="Lexend Deca Light"/>
    </font>
    <font>
      <sz val="10"/>
      <name val="Lexend Deca Light"/>
    </font>
    <font>
      <sz val="10"/>
      <color theme="1"/>
      <name val="Lexend Deca Light"/>
    </font>
    <font>
      <sz val="10"/>
      <color rgb="FFC00000"/>
      <name val="Lexend Deca Light"/>
    </font>
    <font>
      <sz val="11"/>
      <name val="Lexend Deca Light"/>
    </font>
    <font>
      <sz val="11"/>
      <color theme="1"/>
      <name val="Lexend Deca Light"/>
    </font>
    <font>
      <b/>
      <sz val="10"/>
      <color rgb="FFFF0000"/>
      <name val="Lexend Deca Light"/>
    </font>
    <font>
      <b/>
      <i/>
      <sz val="10"/>
      <color theme="1"/>
      <name val="Lexend Deca Light"/>
    </font>
    <font>
      <b/>
      <sz val="18"/>
      <color theme="1"/>
      <name val="Lexend Deca Light"/>
    </font>
    <font>
      <sz val="12"/>
      <color theme="1"/>
      <name val="Lexend Deca Light"/>
    </font>
    <font>
      <b/>
      <sz val="12"/>
      <color theme="1"/>
      <name val="Lexend Deca Light"/>
    </font>
    <font>
      <b/>
      <sz val="12"/>
      <color rgb="FFFF0000"/>
      <name val="Lexend Deca Light"/>
    </font>
    <font>
      <sz val="11.5"/>
      <color theme="1"/>
      <name val="Lexend Deca Light"/>
    </font>
    <font>
      <sz val="12"/>
      <color rgb="FFFF0000"/>
      <name val="Lexend Deca Light"/>
    </font>
    <font>
      <sz val="11.5"/>
      <name val="Lexend Deca Light"/>
    </font>
    <font>
      <sz val="12"/>
      <color theme="1"/>
      <name val="Calibri"/>
      <family val="2"/>
      <scheme val="minor"/>
    </font>
    <font>
      <sz val="12"/>
      <color rgb="FFC00000"/>
      <name val="Lexend Deca Light"/>
    </font>
    <font>
      <sz val="12"/>
      <name val="Lexend Deca Light"/>
    </font>
    <font>
      <sz val="11.5"/>
      <name val="Calibri"/>
      <family val="2"/>
      <scheme val="minor"/>
    </font>
    <font>
      <sz val="11.5"/>
      <color rgb="FFC00000"/>
      <name val="Lexend Deca Light"/>
    </font>
    <font>
      <sz val="10"/>
      <color rgb="FFFF0000"/>
      <name val="Lexend Deca Light"/>
    </font>
    <font>
      <b/>
      <sz val="11"/>
      <color theme="1"/>
      <name val="Lexend Deca Light"/>
    </font>
    <font>
      <b/>
      <sz val="11"/>
      <name val="Lexend Deca Light"/>
    </font>
    <font>
      <b/>
      <sz val="11"/>
      <color rgb="FF3333FF"/>
      <name val="Lexend Deca Light"/>
    </font>
    <font>
      <sz val="11"/>
      <color rgb="FFC00000"/>
      <name val="Lexend Deca Light"/>
    </font>
    <font>
      <sz val="11"/>
      <name val="Calibri"/>
      <family val="2"/>
      <scheme val="minor"/>
    </font>
    <font>
      <sz val="10"/>
      <name val="Calibri"/>
      <family val="2"/>
      <scheme val="minor"/>
    </font>
    <font>
      <b/>
      <sz val="10"/>
      <color indexed="81"/>
      <name val="Lexend Deca Light"/>
    </font>
    <font>
      <sz val="10"/>
      <color indexed="81"/>
      <name val="Lexend Deca Light"/>
    </font>
    <font>
      <b/>
      <sz val="11"/>
      <color indexed="81"/>
      <name val="Lexend Deca Light"/>
    </font>
    <font>
      <sz val="11"/>
      <color indexed="81"/>
      <name val="Lexend Deca Light"/>
    </font>
    <font>
      <b/>
      <sz val="11"/>
      <color rgb="FF000000"/>
      <name val="Lexend Deca Light"/>
    </font>
    <font>
      <b/>
      <sz val="11"/>
      <color theme="9"/>
      <name val="Calibri"/>
      <family val="2"/>
      <scheme val="minor"/>
    </font>
    <font>
      <b/>
      <sz val="16"/>
      <color theme="1"/>
      <name val="Lexend Deca Light"/>
      <family val="2"/>
    </font>
    <font>
      <sz val="10"/>
      <color theme="1"/>
      <name val="Arial"/>
      <family val="2"/>
    </font>
    <font>
      <b/>
      <sz val="10"/>
      <color theme="0"/>
      <name val="Arial"/>
      <family val="2"/>
    </font>
    <font>
      <sz val="12"/>
      <color theme="0"/>
      <name val="Times New Roman"/>
      <family val="1"/>
    </font>
    <font>
      <sz val="12"/>
      <color theme="1"/>
      <name val="Times New Roman"/>
      <family val="1"/>
    </font>
    <font>
      <sz val="11"/>
      <color theme="1"/>
      <name val="Lexend Deca Light"/>
      <family val="2"/>
    </font>
    <font>
      <b/>
      <sz val="11"/>
      <color theme="0"/>
      <name val="Lexend Deca Light"/>
      <family val="2"/>
    </font>
    <font>
      <b/>
      <sz val="12"/>
      <color theme="1"/>
      <name val="Times New Roman"/>
      <family val="1"/>
    </font>
    <font>
      <b/>
      <sz val="11"/>
      <color theme="1"/>
      <name val="Lexend Deca Light"/>
      <family val="2"/>
    </font>
    <font>
      <sz val="11"/>
      <name val="Lexend Deca Light"/>
      <family val="2"/>
    </font>
    <font>
      <sz val="11"/>
      <color rgb="FF00B0F0"/>
      <name val="Lexend Deca Light"/>
      <family val="2"/>
    </font>
    <font>
      <sz val="11"/>
      <color rgb="FF0070C0"/>
      <name val="Lexend Deca Light"/>
      <family val="2"/>
    </font>
    <font>
      <sz val="12"/>
      <color rgb="FF0070C0"/>
      <name val="Times New Roman"/>
      <family val="1"/>
    </font>
    <font>
      <b/>
      <sz val="10"/>
      <color theme="1"/>
      <name val="Lexend Deca Light"/>
      <family val="2"/>
    </font>
    <font>
      <sz val="10"/>
      <color theme="1"/>
      <name val="Lexend Deca Light"/>
      <family val="2"/>
    </font>
    <font>
      <b/>
      <sz val="10"/>
      <name val="Lexend Deca Light"/>
      <family val="2"/>
    </font>
    <font>
      <sz val="10"/>
      <color theme="1"/>
      <name val="Times New Roman"/>
      <family val="1"/>
    </font>
    <font>
      <sz val="11"/>
      <color rgb="FFFF0000"/>
      <name val="Lexend Deca Light"/>
      <family val="2"/>
    </font>
    <font>
      <b/>
      <sz val="11"/>
      <name val="Lexend Deca Light"/>
      <family val="2"/>
    </font>
    <font>
      <b/>
      <sz val="11"/>
      <color rgb="FF3333FF"/>
      <name val="Lexend Deca Light"/>
      <family val="2"/>
    </font>
    <font>
      <b/>
      <u/>
      <sz val="12"/>
      <color theme="1"/>
      <name val="Times New Roman"/>
      <family val="1"/>
    </font>
    <font>
      <sz val="12"/>
      <name val="Times New Roman"/>
      <family val="1"/>
    </font>
    <font>
      <b/>
      <sz val="10"/>
      <color rgb="FF3333FF"/>
      <name val="Lexend Deca Light"/>
    </font>
    <font>
      <sz val="10"/>
      <color rgb="FF3333FF"/>
      <name val="Lexend Deca Light"/>
    </font>
    <font>
      <b/>
      <sz val="11"/>
      <color rgb="FFFF0000"/>
      <name val="Lexend Deca Light"/>
    </font>
    <font>
      <sz val="11"/>
      <color rgb="FFFF0000"/>
      <name val="Lexend Deca Light"/>
    </font>
    <font>
      <sz val="11.5"/>
      <color rgb="FFFF0000"/>
      <name val="Lexend Deca Light"/>
    </font>
    <font>
      <sz val="11"/>
      <color rgb="FFFF0000"/>
      <name val="Calibri"/>
      <family val="2"/>
      <scheme val="minor"/>
    </font>
    <font>
      <i/>
      <sz val="10"/>
      <color theme="1" tint="0.499984740745262"/>
      <name val="Arial"/>
      <family val="2"/>
    </font>
    <font>
      <i/>
      <sz val="11"/>
      <color theme="1" tint="0.499984740745262"/>
      <name val="Calibri"/>
      <family val="2"/>
    </font>
    <font>
      <sz val="11"/>
      <color theme="1"/>
      <name val="Aptos Narrow"/>
    </font>
    <font>
      <i/>
      <strike/>
      <sz val="10"/>
      <color theme="1" tint="0.499984740745262"/>
      <name val="Arial"/>
      <family val="2"/>
    </font>
    <font>
      <i/>
      <sz val="11"/>
      <color theme="1" tint="0.499984740745262"/>
      <name val="Calibri"/>
      <family val="2"/>
      <scheme val="minor"/>
    </font>
    <font>
      <sz val="11"/>
      <color rgb="FFFF0000"/>
      <name val="Calibri"/>
      <family val="2"/>
    </font>
    <font>
      <b/>
      <sz val="11"/>
      <color rgb="FFFFFFFF"/>
      <name val="Calibri"/>
      <family val="2"/>
      <scheme val="minor"/>
    </font>
    <font>
      <strike/>
      <sz val="10"/>
      <color theme="1"/>
      <name val="Arial"/>
      <family val="2"/>
    </font>
    <font>
      <i/>
      <strike/>
      <sz val="10"/>
      <color theme="1" tint="0.499984740745262"/>
      <name val="Arial"/>
      <family val="2"/>
    </font>
    <font>
      <strike/>
      <sz val="11"/>
      <color theme="1"/>
      <name val="Calibri"/>
      <family val="2"/>
      <scheme val="minor"/>
    </font>
    <font>
      <i/>
      <strike/>
      <sz val="11"/>
      <color rgb="FFFF0000"/>
      <name val="Calibri"/>
      <family val="2"/>
      <scheme val="minor"/>
    </font>
    <font>
      <strike/>
      <sz val="10"/>
      <color rgb="FF000000"/>
      <name val="Arial"/>
      <family val="2"/>
    </font>
    <font>
      <i/>
      <strike/>
      <sz val="11"/>
      <color rgb="FF000000"/>
      <name val="Calibri"/>
      <family val="2"/>
      <scheme val="minor"/>
    </font>
    <font>
      <strike/>
      <sz val="11"/>
      <color rgb="FF000000"/>
      <name val="Calibri"/>
      <family val="2"/>
      <scheme val="minor"/>
    </font>
    <font>
      <sz val="11"/>
      <color rgb="FF000000"/>
      <name val="Calibri"/>
      <family val="2"/>
      <scheme val="minor"/>
    </font>
  </fonts>
  <fills count="29">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1F497D"/>
        <bgColor rgb="FF1F497D"/>
      </patternFill>
    </fill>
    <fill>
      <patternFill patternType="solid">
        <fgColor rgb="FFFFEB9C"/>
        <bgColor rgb="FFFFEB9C"/>
      </patternFill>
    </fill>
    <fill>
      <patternFill patternType="solid">
        <fgColor rgb="FFDCE6F1"/>
        <bgColor rgb="FFDCE6F1"/>
      </patternFill>
    </fill>
    <fill>
      <patternFill patternType="solid">
        <fgColor rgb="FFF2F5F8"/>
        <bgColor rgb="FFF2F5F8"/>
      </patternFill>
    </fill>
    <fill>
      <patternFill patternType="solid">
        <fgColor rgb="FFF4F7F9"/>
        <bgColor rgb="FFF4F7F9"/>
      </patternFill>
    </fill>
    <fill>
      <patternFill patternType="solid">
        <fgColor rgb="FF0B5394"/>
        <bgColor rgb="FF0B5394"/>
      </patternFill>
    </fill>
    <fill>
      <patternFill patternType="solid">
        <fgColor rgb="FF002060"/>
        <bgColor indexed="64"/>
      </patternFill>
    </fill>
    <fill>
      <patternFill patternType="solid">
        <fgColor theme="8" tint="0.79998168889431442"/>
        <bgColor indexed="64"/>
      </patternFill>
    </fill>
    <fill>
      <patternFill patternType="solid">
        <fgColor rgb="FFCCFFCC"/>
        <bgColor indexed="64"/>
      </patternFill>
    </fill>
    <fill>
      <patternFill patternType="solid">
        <fgColor rgb="FFFFDDFF"/>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0"/>
        <bgColor indexed="64"/>
      </patternFill>
    </fill>
    <fill>
      <patternFill patternType="solid">
        <fgColor theme="8" tint="-0.24988555558946501"/>
        <bgColor indexed="64"/>
      </patternFill>
    </fill>
    <fill>
      <patternFill patternType="solid">
        <fgColor theme="8" tint="-0.24991607409894101"/>
        <bgColor indexed="64"/>
      </patternFill>
    </fill>
    <fill>
      <patternFill patternType="solid">
        <fgColor rgb="FFFFFF00"/>
        <bgColor indexed="64"/>
      </patternFill>
    </fill>
    <fill>
      <patternFill patternType="solid">
        <fgColor rgb="FFFFFFFF"/>
        <bgColor indexed="64"/>
      </patternFill>
    </fill>
    <fill>
      <patternFill patternType="solid">
        <fgColor theme="5" tint="-0.249977111117893"/>
        <bgColor indexed="64"/>
      </patternFill>
    </fill>
    <fill>
      <patternFill patternType="solid">
        <fgColor rgb="FFFFC7CE"/>
        <bgColor indexed="64"/>
      </patternFill>
    </fill>
    <fill>
      <patternFill patternType="solid">
        <fgColor rgb="FFFFD966"/>
        <bgColor indexed="64"/>
      </patternFill>
    </fill>
    <fill>
      <patternFill patternType="solid">
        <fgColor rgb="FFFFF2CC"/>
        <bgColor indexed="64"/>
      </patternFill>
    </fill>
    <fill>
      <patternFill patternType="solid">
        <fgColor rgb="FFDDEBF7"/>
        <bgColor indexed="64"/>
      </patternFill>
    </fill>
    <fill>
      <patternFill patternType="solid">
        <fgColor rgb="FFC6EFCE"/>
        <bgColor indexed="64"/>
      </patternFill>
    </fill>
  </fills>
  <borders count="79">
    <border>
      <left/>
      <right/>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diagonal/>
    </border>
    <border>
      <left/>
      <right style="thin">
        <color auto="1"/>
      </right>
      <top/>
      <bottom/>
      <diagonal/>
    </border>
    <border>
      <left style="thin">
        <color auto="1"/>
      </left>
      <right/>
      <top/>
      <bottom style="thin">
        <color theme="0"/>
      </bottom>
      <diagonal/>
    </border>
    <border>
      <left style="thin">
        <color theme="0"/>
      </left>
      <right style="thin">
        <color theme="0"/>
      </right>
      <top/>
      <bottom style="thin">
        <color theme="0"/>
      </bottom>
      <diagonal/>
    </border>
    <border>
      <left style="thin">
        <color theme="0"/>
      </left>
      <right/>
      <top/>
      <bottom/>
      <diagonal/>
    </border>
    <border>
      <left style="thin">
        <color theme="0"/>
      </left>
      <right style="thin">
        <color theme="0"/>
      </right>
      <top/>
      <bottom/>
      <diagonal/>
    </border>
    <border>
      <left/>
      <right/>
      <top style="thin">
        <color theme="0"/>
      </top>
      <bottom/>
      <diagonal/>
    </border>
    <border>
      <left/>
      <right style="hair">
        <color auto="1"/>
      </right>
      <top/>
      <bottom style="thin">
        <color auto="1"/>
      </bottom>
      <diagonal/>
    </border>
    <border>
      <left/>
      <right style="hair">
        <color auto="1"/>
      </right>
      <top/>
      <bottom/>
      <diagonal/>
    </border>
    <border>
      <left/>
      <right style="thin">
        <color auto="1"/>
      </right>
      <top/>
      <bottom style="thin">
        <color theme="0"/>
      </bottom>
      <diagonal/>
    </border>
    <border>
      <left/>
      <right/>
      <top/>
      <bottom style="hair">
        <color auto="1"/>
      </bottom>
      <diagonal/>
    </border>
    <border>
      <left/>
      <right style="hair">
        <color auto="1"/>
      </right>
      <top/>
      <bottom style="hair">
        <color auto="1"/>
      </bottom>
      <diagonal/>
    </border>
    <border>
      <left style="thin">
        <color auto="1"/>
      </left>
      <right/>
      <top style="hair">
        <color auto="1"/>
      </top>
      <bottom/>
      <diagonal/>
    </border>
    <border>
      <left/>
      <right/>
      <top style="hair">
        <color auto="1"/>
      </top>
      <bottom/>
      <diagonal/>
    </border>
    <border>
      <left/>
      <right style="hair">
        <color auto="1"/>
      </right>
      <top style="hair">
        <color auto="1"/>
      </top>
      <bottom/>
      <diagonal/>
    </border>
    <border>
      <left style="thin">
        <color auto="1"/>
      </left>
      <right/>
      <top/>
      <bottom style="hair">
        <color auto="1"/>
      </bottom>
      <diagonal/>
    </border>
    <border>
      <left/>
      <right/>
      <top/>
      <bottom style="thin">
        <color theme="0"/>
      </bottom>
      <diagonal/>
    </border>
    <border>
      <left/>
      <right/>
      <top style="thin">
        <color theme="0"/>
      </top>
      <bottom style="thin">
        <color theme="0"/>
      </bottom>
      <diagonal/>
    </border>
    <border>
      <left style="thin">
        <color auto="1"/>
      </left>
      <right style="thin">
        <color theme="0"/>
      </right>
      <top style="thin">
        <color theme="0"/>
      </top>
      <bottom style="hair">
        <color auto="1"/>
      </bottom>
      <diagonal/>
    </border>
    <border>
      <left style="thin">
        <color theme="0"/>
      </left>
      <right style="thin">
        <color theme="0"/>
      </right>
      <top style="thin">
        <color theme="0"/>
      </top>
      <bottom style="hair">
        <color auto="1"/>
      </bottom>
      <diagonal/>
    </border>
    <border>
      <left style="thin">
        <color theme="0"/>
      </left>
      <right style="thin">
        <color auto="1"/>
      </right>
      <top style="thin">
        <color theme="0"/>
      </top>
      <bottom style="hair">
        <color auto="1"/>
      </bottom>
      <diagonal/>
    </border>
    <border>
      <left style="thin">
        <color auto="1"/>
      </left>
      <right style="thin">
        <color theme="0"/>
      </right>
      <top/>
      <bottom/>
      <diagonal/>
    </border>
    <border>
      <left style="thin">
        <color auto="1"/>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top style="thin">
        <color theme="0"/>
      </top>
      <bottom style="hair">
        <color auto="1"/>
      </bottom>
      <diagonal/>
    </border>
    <border>
      <left/>
      <right style="thin">
        <color auto="1"/>
      </right>
      <top/>
      <bottom style="hair">
        <color auto="1"/>
      </bottom>
      <diagonal/>
    </border>
    <border>
      <left style="thin">
        <color theme="0"/>
      </left>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auto="1"/>
      </right>
      <top/>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style="thin">
        <color rgb="FFCCCCCC"/>
      </right>
      <top style="thin">
        <color rgb="FFCCCCCC"/>
      </top>
      <bottom style="thin">
        <color rgb="FFCCCCCC"/>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8">
    <xf numFmtId="0" fontId="0" fillId="0" borderId="0"/>
    <xf numFmtId="0" fontId="5" fillId="0" borderId="0" applyNumberFormat="0" applyFill="0" applyBorder="0" applyAlignment="0" applyProtection="0"/>
    <xf numFmtId="164" fontId="32" fillId="0" borderId="0"/>
    <xf numFmtId="165" fontId="32" fillId="0" borderId="0" applyFont="0" applyFill="0" applyBorder="0" applyAlignment="0" applyProtection="0"/>
    <xf numFmtId="0" fontId="32" fillId="0" borderId="0"/>
    <xf numFmtId="165" fontId="36" fillId="0" borderId="0" applyFont="0" applyFill="0" applyBorder="0" applyAlignment="0" applyProtection="0"/>
    <xf numFmtId="0" fontId="36" fillId="0" borderId="0"/>
    <xf numFmtId="0" fontId="71" fillId="0" borderId="0"/>
  </cellStyleXfs>
  <cellXfs count="676">
    <xf numFmtId="0" fontId="0" fillId="0" borderId="0" xfId="0"/>
    <xf numFmtId="0" fontId="1" fillId="0" borderId="0" xfId="0" applyFont="1"/>
    <xf numFmtId="0" fontId="2" fillId="0" borderId="0" xfId="0" applyFont="1"/>
    <xf numFmtId="0" fontId="4" fillId="0" borderId="0" xfId="0" applyFont="1"/>
    <xf numFmtId="0" fontId="3" fillId="0" borderId="0" xfId="0" applyFont="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vertical="top" wrapText="1"/>
    </xf>
    <xf numFmtId="0" fontId="10" fillId="0" borderId="0" xfId="0" applyFont="1"/>
    <xf numFmtId="0" fontId="0" fillId="3" borderId="0" xfId="0" applyFill="1" applyAlignment="1">
      <alignment horizontal="left" vertical="top" wrapText="1"/>
    </xf>
    <xf numFmtId="0" fontId="1" fillId="4" borderId="0" xfId="0" applyFont="1" applyFill="1" applyAlignment="1">
      <alignment horizontal="left" vertical="top" wrapText="1"/>
    </xf>
    <xf numFmtId="0" fontId="11" fillId="0" borderId="0" xfId="0" applyFont="1"/>
    <xf numFmtId="0" fontId="12" fillId="0" borderId="0" xfId="0" applyFont="1"/>
    <xf numFmtId="0" fontId="13" fillId="0" borderId="0" xfId="0" applyFont="1"/>
    <xf numFmtId="0" fontId="14" fillId="5" borderId="0" xfId="0" applyFont="1" applyFill="1" applyAlignment="1">
      <alignment wrapText="1"/>
    </xf>
    <xf numFmtId="0" fontId="12" fillId="0" borderId="1" xfId="0" applyFont="1" applyBorder="1"/>
    <xf numFmtId="0" fontId="15" fillId="6" borderId="1" xfId="0" applyFont="1" applyFill="1" applyBorder="1"/>
    <xf numFmtId="0" fontId="11" fillId="0" borderId="1" xfId="0" applyFont="1" applyBorder="1"/>
    <xf numFmtId="10" fontId="12" fillId="0" borderId="1" xfId="0" applyNumberFormat="1" applyFont="1" applyBorder="1"/>
    <xf numFmtId="0" fontId="11" fillId="8" borderId="1" xfId="0" applyFont="1" applyFill="1" applyBorder="1"/>
    <xf numFmtId="0" fontId="12" fillId="8" borderId="1" xfId="0" applyFont="1" applyFill="1" applyBorder="1"/>
    <xf numFmtId="0" fontId="5" fillId="0" borderId="0" xfId="1"/>
    <xf numFmtId="0" fontId="17" fillId="9" borderId="1" xfId="0" applyFont="1" applyFill="1" applyBorder="1"/>
    <xf numFmtId="0" fontId="18" fillId="10" borderId="2" xfId="0" applyFont="1" applyFill="1" applyBorder="1"/>
    <xf numFmtId="0" fontId="5" fillId="8" borderId="1" xfId="1" applyFill="1" applyBorder="1" applyAlignment="1"/>
    <xf numFmtId="0" fontId="18" fillId="10" borderId="2" xfId="0" applyFont="1" applyFill="1" applyBorder="1" applyAlignment="1">
      <alignment horizontal="center"/>
    </xf>
    <xf numFmtId="0" fontId="19" fillId="0" borderId="0" xfId="0" applyFont="1"/>
    <xf numFmtId="0" fontId="18" fillId="10" borderId="3" xfId="0" applyFont="1" applyFill="1" applyBorder="1"/>
    <xf numFmtId="0" fontId="0" fillId="0" borderId="0" xfId="0" applyAlignment="1">
      <alignment horizontal="left" vertical="center" wrapText="1"/>
    </xf>
    <xf numFmtId="0" fontId="0" fillId="3" borderId="0" xfId="0" applyFill="1" applyAlignment="1">
      <alignment horizontal="left" vertical="center" wrapText="1"/>
    </xf>
    <xf numFmtId="0" fontId="0" fillId="0" borderId="0" xfId="0" applyAlignment="1">
      <alignment vertical="center" wrapText="1"/>
    </xf>
    <xf numFmtId="0" fontId="9" fillId="0" borderId="0" xfId="0" applyFont="1" applyAlignment="1">
      <alignment horizontal="left" vertical="center" wrapText="1"/>
    </xf>
    <xf numFmtId="0" fontId="0" fillId="3" borderId="0" xfId="0" applyFill="1" applyAlignment="1">
      <alignment horizontal="left" vertical="center"/>
    </xf>
    <xf numFmtId="0" fontId="20" fillId="0" borderId="0" xfId="0" applyFont="1"/>
    <xf numFmtId="0" fontId="21" fillId="0" borderId="0" xfId="0" applyFont="1"/>
    <xf numFmtId="0" fontId="22" fillId="0" borderId="0" xfId="0" applyFont="1"/>
    <xf numFmtId="0" fontId="21" fillId="0" borderId="0" xfId="0" quotePrefix="1" applyFont="1"/>
    <xf numFmtId="0" fontId="23" fillId="0" borderId="0" xfId="0" quotePrefix="1" applyFont="1"/>
    <xf numFmtId="0" fontId="24" fillId="0" borderId="0" xfId="0" quotePrefix="1" applyFont="1"/>
    <xf numFmtId="0" fontId="8" fillId="0" borderId="0" xfId="0" applyFont="1"/>
    <xf numFmtId="0" fontId="25" fillId="0" borderId="0" xfId="0" quotePrefix="1" applyFont="1"/>
    <xf numFmtId="0" fontId="0" fillId="0" borderId="0" xfId="0" quotePrefix="1"/>
    <xf numFmtId="0" fontId="26" fillId="0" borderId="0" xfId="0" quotePrefix="1" applyFont="1"/>
    <xf numFmtId="0" fontId="28" fillId="0" borderId="0" xfId="0" quotePrefix="1" applyFont="1"/>
    <xf numFmtId="0" fontId="30" fillId="0" borderId="0" xfId="0" quotePrefix="1" applyFont="1"/>
    <xf numFmtId="0" fontId="26" fillId="0" borderId="4" xfId="0" quotePrefix="1" applyFont="1" applyBorder="1"/>
    <xf numFmtId="0" fontId="0" fillId="0" borderId="7" xfId="0" applyBorder="1"/>
    <xf numFmtId="0" fontId="0" fillId="0" borderId="5" xfId="0" applyBorder="1"/>
    <xf numFmtId="0" fontId="21" fillId="0" borderId="8" xfId="0" quotePrefix="1" applyFont="1" applyBorder="1"/>
    <xf numFmtId="0" fontId="0" fillId="0" borderId="9" xfId="0" applyBorder="1"/>
    <xf numFmtId="0" fontId="6" fillId="0" borderId="0" xfId="0" quotePrefix="1" applyFont="1"/>
    <xf numFmtId="0" fontId="0" fillId="0" borderId="8" xfId="0" applyBorder="1"/>
    <xf numFmtId="0" fontId="0" fillId="0" borderId="8" xfId="0" quotePrefix="1" applyBorder="1"/>
    <xf numFmtId="0" fontId="6" fillId="0" borderId="10" xfId="0" quotePrefix="1" applyFont="1" applyBorder="1"/>
    <xf numFmtId="0" fontId="0" fillId="0" borderId="6" xfId="0" applyBorder="1"/>
    <xf numFmtId="0" fontId="0" fillId="0" borderId="11" xfId="0" applyBorder="1"/>
    <xf numFmtId="0" fontId="6" fillId="0" borderId="4" xfId="0" applyFont="1" applyBorder="1"/>
    <xf numFmtId="0" fontId="0" fillId="0" borderId="10" xfId="0" applyBorder="1"/>
    <xf numFmtId="0" fontId="6" fillId="0" borderId="8" xfId="0" quotePrefix="1" applyFont="1" applyBorder="1"/>
    <xf numFmtId="14" fontId="33" fillId="11" borderId="12" xfId="2" applyNumberFormat="1" applyFont="1" applyFill="1" applyBorder="1" applyAlignment="1">
      <alignment vertical="top" wrapText="1"/>
    </xf>
    <xf numFmtId="0" fontId="34" fillId="0" borderId="13" xfId="0" applyFont="1" applyBorder="1" applyAlignment="1">
      <alignment readingOrder="1"/>
    </xf>
    <xf numFmtId="0" fontId="34" fillId="0" borderId="14" xfId="0" applyFont="1" applyBorder="1" applyAlignment="1">
      <alignment readingOrder="1"/>
    </xf>
    <xf numFmtId="0" fontId="34" fillId="0" borderId="16" xfId="0" applyFont="1" applyBorder="1" applyAlignment="1">
      <alignment readingOrder="1"/>
    </xf>
    <xf numFmtId="0" fontId="18" fillId="10" borderId="4" xfId="0" applyFont="1" applyFill="1" applyBorder="1"/>
    <xf numFmtId="0" fontId="18" fillId="10" borderId="5" xfId="0" applyFont="1" applyFill="1" applyBorder="1"/>
    <xf numFmtId="15" fontId="12" fillId="0" borderId="0" xfId="0" applyNumberFormat="1" applyFont="1"/>
    <xf numFmtId="0" fontId="0" fillId="0" borderId="2" xfId="0" applyBorder="1"/>
    <xf numFmtId="14" fontId="33" fillId="11" borderId="17" xfId="2" applyNumberFormat="1" applyFont="1" applyFill="1" applyBorder="1" applyAlignment="1">
      <alignment vertical="top" wrapText="1"/>
    </xf>
    <xf numFmtId="14" fontId="37" fillId="0" borderId="0" xfId="5" applyNumberFormat="1" applyFont="1" applyFill="1" applyAlignment="1">
      <alignment horizontal="left" vertical="center"/>
    </xf>
    <xf numFmtId="165" fontId="39" fillId="0" borderId="0" xfId="3" applyFont="1" applyAlignment="1">
      <alignment vertical="center"/>
    </xf>
    <xf numFmtId="164" fontId="32" fillId="0" borderId="0" xfId="2"/>
    <xf numFmtId="14" fontId="40" fillId="0" borderId="0" xfId="2" applyNumberFormat="1" applyFont="1" applyAlignment="1">
      <alignment horizontal="right"/>
    </xf>
    <xf numFmtId="164" fontId="41" fillId="0" borderId="0" xfId="2" applyFont="1"/>
    <xf numFmtId="164" fontId="39" fillId="0" borderId="0" xfId="2" applyFont="1" applyAlignment="1">
      <alignment horizontal="right"/>
    </xf>
    <xf numFmtId="164" fontId="39" fillId="0" borderId="0" xfId="2" applyFont="1" applyAlignment="1">
      <alignment horizontal="center"/>
    </xf>
    <xf numFmtId="14" fontId="42" fillId="0" borderId="0" xfId="2" applyNumberFormat="1" applyFont="1" applyAlignment="1">
      <alignment vertical="center"/>
    </xf>
    <xf numFmtId="1" fontId="39" fillId="0" borderId="0" xfId="5" applyNumberFormat="1" applyFont="1" applyFill="1" applyAlignment="1">
      <alignment horizontal="left" vertical="center"/>
    </xf>
    <xf numFmtId="14" fontId="39" fillId="0" borderId="0" xfId="5" applyNumberFormat="1" applyFont="1" applyFill="1" applyAlignment="1">
      <alignment horizontal="left" vertical="center"/>
    </xf>
    <xf numFmtId="14" fontId="39" fillId="0" borderId="0" xfId="5" applyNumberFormat="1" applyFont="1" applyFill="1" applyAlignment="1">
      <alignment horizontal="center" vertical="center"/>
    </xf>
    <xf numFmtId="14" fontId="35" fillId="0" borderId="0" xfId="5" applyNumberFormat="1" applyFont="1" applyFill="1" applyAlignment="1">
      <alignment horizontal="left" vertical="center"/>
    </xf>
    <xf numFmtId="167" fontId="43" fillId="0" borderId="0" xfId="3" quotePrefix="1" applyNumberFormat="1" applyFont="1" applyFill="1" applyAlignment="1">
      <alignment horizontal="center" vertical="center"/>
    </xf>
    <xf numFmtId="169" fontId="43" fillId="0" borderId="0" xfId="2" applyNumberFormat="1" applyFont="1" applyAlignment="1">
      <alignment horizontal="left" vertical="center"/>
    </xf>
    <xf numFmtId="164" fontId="39" fillId="0" borderId="0" xfId="2" applyFont="1" applyAlignment="1">
      <alignment horizontal="center" vertical="center"/>
    </xf>
    <xf numFmtId="0" fontId="39" fillId="0" borderId="0" xfId="2" applyNumberFormat="1" applyFont="1" applyAlignment="1">
      <alignment vertical="center" wrapText="1"/>
    </xf>
    <xf numFmtId="14" fontId="44" fillId="0" borderId="0" xfId="2" applyNumberFormat="1" applyFont="1" applyAlignment="1">
      <alignment horizontal="left" vertical="center"/>
    </xf>
    <xf numFmtId="2" fontId="44" fillId="0" borderId="0" xfId="2" applyNumberFormat="1" applyFont="1" applyAlignment="1">
      <alignment horizontal="left" vertical="center"/>
    </xf>
    <xf numFmtId="2" fontId="44" fillId="0" borderId="0" xfId="2" applyNumberFormat="1" applyFont="1" applyAlignment="1">
      <alignment horizontal="center" vertical="center"/>
    </xf>
    <xf numFmtId="166" fontId="44" fillId="0" borderId="0" xfId="3" applyNumberFormat="1" applyFont="1" applyFill="1" applyAlignment="1">
      <alignment vertical="center"/>
    </xf>
    <xf numFmtId="14" fontId="35" fillId="0" borderId="0" xfId="3" applyNumberFormat="1" applyFont="1" applyFill="1" applyAlignment="1">
      <alignment horizontal="center" vertical="center"/>
    </xf>
    <xf numFmtId="167" fontId="39" fillId="0" borderId="0" xfId="3" applyNumberFormat="1" applyFont="1" applyFill="1" applyAlignment="1">
      <alignment vertical="center"/>
    </xf>
    <xf numFmtId="168" fontId="39" fillId="0" borderId="0" xfId="3" applyNumberFormat="1" applyFont="1" applyFill="1" applyAlignment="1">
      <alignment vertical="center"/>
    </xf>
    <xf numFmtId="165" fontId="39" fillId="0" borderId="0" xfId="3" applyFont="1" applyFill="1" applyAlignment="1">
      <alignment vertical="center"/>
    </xf>
    <xf numFmtId="166" fontId="39" fillId="0" borderId="0" xfId="3" applyNumberFormat="1" applyFont="1" applyFill="1" applyAlignment="1">
      <alignment vertical="center"/>
    </xf>
    <xf numFmtId="166" fontId="39" fillId="0" borderId="0" xfId="3" applyNumberFormat="1" applyFont="1" applyFill="1" applyBorder="1" applyAlignment="1">
      <alignment horizontal="left" wrapText="1"/>
    </xf>
    <xf numFmtId="166" fontId="39" fillId="0" borderId="0" xfId="3" applyNumberFormat="1" applyFont="1" applyFill="1" applyAlignment="1">
      <alignment horizontal="center" vertical="center"/>
    </xf>
    <xf numFmtId="1" fontId="39" fillId="0" borderId="0" xfId="3" applyNumberFormat="1" applyFont="1" applyFill="1" applyAlignment="1">
      <alignment vertical="center"/>
    </xf>
    <xf numFmtId="164" fontId="39" fillId="0" borderId="0" xfId="2" applyFont="1" applyAlignment="1">
      <alignment vertical="center"/>
    </xf>
    <xf numFmtId="0" fontId="39" fillId="0" borderId="0" xfId="2" applyNumberFormat="1" applyFont="1" applyAlignment="1">
      <alignment horizontal="center" vertical="center"/>
    </xf>
    <xf numFmtId="0" fontId="39" fillId="0" borderId="0" xfId="2" applyNumberFormat="1" applyFont="1" applyAlignment="1">
      <alignment vertical="center"/>
    </xf>
    <xf numFmtId="1" fontId="39" fillId="0" borderId="0" xfId="2" applyNumberFormat="1" applyFont="1" applyAlignment="1">
      <alignment horizontal="center" vertical="center"/>
    </xf>
    <xf numFmtId="14" fontId="39" fillId="0" borderId="0" xfId="2" applyNumberFormat="1" applyFont="1" applyAlignment="1">
      <alignment horizontal="center" vertical="center"/>
    </xf>
    <xf numFmtId="14" fontId="39" fillId="0" borderId="0" xfId="2" applyNumberFormat="1" applyFont="1" applyAlignment="1">
      <alignment horizontal="left" vertical="center"/>
    </xf>
    <xf numFmtId="167" fontId="39" fillId="0" borderId="0" xfId="3" applyNumberFormat="1" applyFont="1" applyFill="1" applyAlignment="1">
      <alignment horizontal="center" vertical="center"/>
    </xf>
    <xf numFmtId="165" fontId="39" fillId="0" borderId="0" xfId="3" applyFont="1" applyFill="1" applyAlignment="1">
      <alignment horizontal="center" vertical="center"/>
    </xf>
    <xf numFmtId="166" fontId="39" fillId="0" borderId="0" xfId="3" applyNumberFormat="1" applyFont="1" applyFill="1" applyAlignment="1">
      <alignment horizontal="left" vertical="center" wrapText="1"/>
    </xf>
    <xf numFmtId="1" fontId="39" fillId="0" borderId="0" xfId="2" quotePrefix="1" applyNumberFormat="1" applyFont="1" applyAlignment="1">
      <alignment horizontal="left" vertical="center"/>
    </xf>
    <xf numFmtId="166" fontId="39" fillId="0" borderId="0" xfId="3" applyNumberFormat="1" applyFont="1" applyFill="1" applyAlignment="1">
      <alignment horizontal="center" vertical="center" wrapText="1"/>
    </xf>
    <xf numFmtId="168" fontId="39" fillId="0" borderId="0" xfId="3" applyNumberFormat="1" applyFont="1" applyFill="1" applyAlignment="1">
      <alignment horizontal="center" vertical="center" wrapText="1"/>
    </xf>
    <xf numFmtId="166" fontId="35" fillId="0" borderId="0" xfId="3" applyNumberFormat="1" applyFont="1" applyFill="1" applyBorder="1" applyAlignment="1">
      <alignment vertical="center" wrapText="1"/>
    </xf>
    <xf numFmtId="1" fontId="45" fillId="0" borderId="0" xfId="2" applyNumberFormat="1" applyFont="1" applyAlignment="1">
      <alignment horizontal="left" vertical="center"/>
    </xf>
    <xf numFmtId="14" fontId="46" fillId="0" borderId="0" xfId="2" applyNumberFormat="1" applyFont="1" applyAlignment="1">
      <alignment horizontal="center" vertical="center"/>
    </xf>
    <xf numFmtId="14" fontId="47" fillId="0" borderId="0" xfId="5" applyNumberFormat="1" applyFont="1" applyFill="1" applyAlignment="1">
      <alignment horizontal="left" vertical="center" wrapText="1"/>
    </xf>
    <xf numFmtId="168" fontId="48" fillId="0" borderId="0" xfId="3" quotePrefix="1" applyNumberFormat="1" applyFont="1" applyFill="1" applyAlignment="1">
      <alignment vertical="center"/>
    </xf>
    <xf numFmtId="14" fontId="47" fillId="0" borderId="0" xfId="5" applyNumberFormat="1" applyFont="1" applyFill="1" applyAlignment="1">
      <alignment horizontal="left" vertical="center"/>
    </xf>
    <xf numFmtId="169" fontId="48" fillId="0" borderId="0" xfId="2" applyNumberFormat="1" applyFont="1" applyAlignment="1">
      <alignment horizontal="left" vertical="center"/>
    </xf>
    <xf numFmtId="165" fontId="46" fillId="0" borderId="0" xfId="3" applyFont="1" applyAlignment="1">
      <alignment horizontal="center" vertical="center"/>
    </xf>
    <xf numFmtId="168" fontId="46" fillId="0" borderId="0" xfId="3" applyNumberFormat="1" applyFont="1" applyAlignment="1">
      <alignment vertical="center" wrapText="1"/>
    </xf>
    <xf numFmtId="165" fontId="46" fillId="0" borderId="0" xfId="3" applyFont="1" applyAlignment="1">
      <alignment horizontal="left" vertical="center"/>
    </xf>
    <xf numFmtId="14" fontId="46" fillId="0" borderId="0" xfId="2" applyNumberFormat="1" applyFont="1" applyAlignment="1">
      <alignment horizontal="left" vertical="center"/>
    </xf>
    <xf numFmtId="166" fontId="46" fillId="0" borderId="0" xfId="3" applyNumberFormat="1" applyFont="1" applyFill="1" applyAlignment="1">
      <alignment vertical="center"/>
    </xf>
    <xf numFmtId="166" fontId="46" fillId="0" borderId="0" xfId="3" applyNumberFormat="1" applyFont="1" applyFill="1" applyAlignment="1">
      <alignment horizontal="center" vertical="center"/>
    </xf>
    <xf numFmtId="167" fontId="46" fillId="0" borderId="0" xfId="3" applyNumberFormat="1" applyFont="1" applyFill="1" applyAlignment="1">
      <alignment horizontal="center" vertical="center"/>
    </xf>
    <xf numFmtId="167" fontId="46" fillId="0" borderId="0" xfId="3" applyNumberFormat="1" applyFont="1" applyFill="1" applyAlignment="1">
      <alignment vertical="center"/>
    </xf>
    <xf numFmtId="165" fontId="46" fillId="0" borderId="0" xfId="3" applyFont="1" applyFill="1" applyAlignment="1">
      <alignment horizontal="center" vertical="center"/>
    </xf>
    <xf numFmtId="166" fontId="49" fillId="0" borderId="0" xfId="3" applyNumberFormat="1" applyFont="1" applyFill="1" applyAlignment="1">
      <alignment horizontal="center" vertical="center"/>
    </xf>
    <xf numFmtId="166" fontId="46" fillId="0" borderId="0" xfId="3" applyNumberFormat="1" applyFont="1" applyFill="1" applyAlignment="1">
      <alignment horizontal="left" vertical="center" wrapText="1"/>
    </xf>
    <xf numFmtId="1" fontId="46" fillId="0" borderId="0" xfId="2" quotePrefix="1" applyNumberFormat="1" applyFont="1" applyAlignment="1">
      <alignment horizontal="left" vertical="center"/>
    </xf>
    <xf numFmtId="168" fontId="46" fillId="0" borderId="0" xfId="3" quotePrefix="1" applyNumberFormat="1" applyFont="1" applyFill="1" applyAlignment="1">
      <alignment horizontal="left" vertical="center"/>
    </xf>
    <xf numFmtId="166" fontId="46" fillId="0" borderId="0" xfId="3" applyNumberFormat="1" applyFont="1" applyFill="1" applyAlignment="1">
      <alignment horizontal="center" vertical="center" wrapText="1"/>
    </xf>
    <xf numFmtId="168" fontId="46" fillId="0" borderId="0" xfId="3" applyNumberFormat="1" applyFont="1" applyFill="1" applyAlignment="1">
      <alignment horizontal="center" vertical="center" wrapText="1"/>
    </xf>
    <xf numFmtId="166" fontId="50" fillId="0" borderId="0" xfId="3" applyNumberFormat="1" applyFont="1" applyFill="1" applyAlignment="1">
      <alignment horizontal="center" vertical="center"/>
    </xf>
    <xf numFmtId="166" fontId="47" fillId="0" borderId="0" xfId="3" applyNumberFormat="1" applyFont="1" applyFill="1" applyAlignment="1">
      <alignment vertical="center"/>
    </xf>
    <xf numFmtId="170" fontId="46" fillId="0" borderId="0" xfId="3" applyNumberFormat="1" applyFont="1" applyFill="1" applyAlignment="1">
      <alignment horizontal="center" vertical="center"/>
    </xf>
    <xf numFmtId="166" fontId="51" fillId="0" borderId="0" xfId="3" applyNumberFormat="1" applyFont="1" applyFill="1" applyAlignment="1">
      <alignment vertical="center"/>
    </xf>
    <xf numFmtId="166" fontId="50" fillId="0" borderId="0" xfId="3" applyNumberFormat="1" applyFont="1" applyFill="1" applyAlignment="1">
      <alignment vertical="center"/>
    </xf>
    <xf numFmtId="43" fontId="46" fillId="0" borderId="0" xfId="3" applyNumberFormat="1" applyFont="1" applyFill="1" applyAlignment="1">
      <alignment vertical="center"/>
    </xf>
    <xf numFmtId="37" fontId="46" fillId="0" borderId="0" xfId="3" applyNumberFormat="1" applyFont="1" applyFill="1" applyAlignment="1">
      <alignment vertical="center"/>
    </xf>
    <xf numFmtId="166" fontId="47" fillId="0" borderId="0" xfId="3" applyNumberFormat="1" applyFont="1" applyFill="1" applyBorder="1" applyAlignment="1">
      <alignment vertical="center" wrapText="1"/>
    </xf>
    <xf numFmtId="166" fontId="46" fillId="0" borderId="0" xfId="3" applyNumberFormat="1" applyFont="1" applyFill="1" applyBorder="1" applyAlignment="1">
      <alignment vertical="center" wrapText="1"/>
    </xf>
    <xf numFmtId="1" fontId="47" fillId="0" borderId="0" xfId="3" applyNumberFormat="1" applyFont="1" applyFill="1" applyBorder="1" applyAlignment="1">
      <alignment vertical="center" wrapText="1"/>
    </xf>
    <xf numFmtId="164" fontId="46" fillId="0" borderId="0" xfId="2" applyFont="1" applyAlignment="1">
      <alignment vertical="center"/>
    </xf>
    <xf numFmtId="168" fontId="46" fillId="0" borderId="0" xfId="3" applyNumberFormat="1" applyFont="1" applyFill="1" applyAlignment="1">
      <alignment vertical="center"/>
    </xf>
    <xf numFmtId="168" fontId="49" fillId="0" borderId="0" xfId="3" applyNumberFormat="1" applyFont="1" applyFill="1" applyAlignment="1">
      <alignment vertical="center"/>
    </xf>
    <xf numFmtId="37" fontId="49" fillId="0" borderId="0" xfId="3" applyNumberFormat="1" applyFont="1" applyFill="1" applyAlignment="1">
      <alignment vertical="center"/>
    </xf>
    <xf numFmtId="0" fontId="46" fillId="0" borderId="0" xfId="2" applyNumberFormat="1" applyFont="1" applyAlignment="1">
      <alignment horizontal="center" vertical="center"/>
    </xf>
    <xf numFmtId="0" fontId="46" fillId="0" borderId="0" xfId="2" applyNumberFormat="1" applyFont="1" applyAlignment="1">
      <alignment vertical="center"/>
    </xf>
    <xf numFmtId="165" fontId="46" fillId="0" borderId="0" xfId="3" applyFont="1" applyAlignment="1">
      <alignment vertical="center"/>
    </xf>
    <xf numFmtId="165" fontId="52" fillId="0" borderId="0" xfId="3" applyFont="1" applyAlignment="1">
      <alignment vertical="center"/>
    </xf>
    <xf numFmtId="164" fontId="52" fillId="0" borderId="0" xfId="2" applyFont="1"/>
    <xf numFmtId="14" fontId="53" fillId="0" borderId="0" xfId="2" applyNumberFormat="1" applyFont="1" applyAlignment="1">
      <alignment horizontal="right"/>
    </xf>
    <xf numFmtId="164" fontId="54" fillId="0" borderId="0" xfId="2" applyFont="1"/>
    <xf numFmtId="164" fontId="46" fillId="0" borderId="0" xfId="2" applyFont="1" applyAlignment="1">
      <alignment horizontal="right"/>
    </xf>
    <xf numFmtId="164" fontId="46" fillId="0" borderId="0" xfId="2" applyFont="1" applyAlignment="1">
      <alignment horizontal="center"/>
    </xf>
    <xf numFmtId="0" fontId="41" fillId="0" borderId="0" xfId="4" applyFont="1" applyAlignment="1">
      <alignment vertical="center" wrapText="1"/>
    </xf>
    <xf numFmtId="14" fontId="46" fillId="0" borderId="0" xfId="2" applyNumberFormat="1" applyFont="1" applyAlignment="1">
      <alignment vertical="center"/>
    </xf>
    <xf numFmtId="164" fontId="52" fillId="0" borderId="0" xfId="2" applyFont="1" applyAlignment="1">
      <alignment horizontal="center"/>
    </xf>
    <xf numFmtId="1" fontId="51" fillId="0" borderId="0" xfId="2" applyNumberFormat="1" applyFont="1" applyAlignment="1">
      <alignment horizontal="center" vertical="center"/>
    </xf>
    <xf numFmtId="14" fontId="51" fillId="0" borderId="0" xfId="2" applyNumberFormat="1" applyFont="1" applyAlignment="1">
      <alignment horizontal="center" vertical="center"/>
    </xf>
    <xf numFmtId="14" fontId="51" fillId="0" borderId="0" xfId="5" applyNumberFormat="1" applyFont="1" applyFill="1" applyAlignment="1">
      <alignment horizontal="center" vertical="center"/>
    </xf>
    <xf numFmtId="168" fontId="51" fillId="0" borderId="0" xfId="3" quotePrefix="1" applyNumberFormat="1" applyFont="1" applyFill="1" applyAlignment="1">
      <alignment vertical="center"/>
    </xf>
    <xf numFmtId="14" fontId="51" fillId="0" borderId="0" xfId="5" applyNumberFormat="1" applyFont="1" applyFill="1" applyAlignment="1">
      <alignment horizontal="left" vertical="center"/>
    </xf>
    <xf numFmtId="169" fontId="51" fillId="0" borderId="0" xfId="2" applyNumberFormat="1" applyFont="1" applyAlignment="1">
      <alignment horizontal="left" vertical="center"/>
    </xf>
    <xf numFmtId="0" fontId="51" fillId="0" borderId="0" xfId="2" applyNumberFormat="1" applyFont="1" applyAlignment="1">
      <alignment vertical="center" wrapText="1"/>
    </xf>
    <xf numFmtId="165" fontId="51" fillId="0" borderId="0" xfId="3" applyFont="1" applyAlignment="1">
      <alignment horizontal="left" vertical="center"/>
    </xf>
    <xf numFmtId="14" fontId="51" fillId="0" borderId="0" xfId="2" applyNumberFormat="1" applyFont="1" applyAlignment="1">
      <alignment horizontal="left" vertical="center"/>
    </xf>
    <xf numFmtId="43" fontId="51" fillId="0" borderId="0" xfId="2" applyNumberFormat="1" applyFont="1" applyAlignment="1">
      <alignment horizontal="left" vertical="center"/>
    </xf>
    <xf numFmtId="168" fontId="51" fillId="0" borderId="0" xfId="3" applyNumberFormat="1" applyFont="1" applyFill="1" applyAlignment="1">
      <alignment horizontal="left" vertical="center"/>
    </xf>
    <xf numFmtId="165" fontId="51" fillId="0" borderId="0" xfId="3" applyFont="1" applyAlignment="1">
      <alignment horizontal="center" vertical="center"/>
    </xf>
    <xf numFmtId="37" fontId="51" fillId="0" borderId="0" xfId="3" applyNumberFormat="1" applyFont="1" applyFill="1" applyAlignment="1">
      <alignment vertical="center"/>
    </xf>
    <xf numFmtId="171" fontId="51" fillId="0" borderId="0" xfId="3" applyNumberFormat="1" applyFont="1" applyFill="1" applyAlignment="1">
      <alignment vertical="center"/>
    </xf>
    <xf numFmtId="165" fontId="55" fillId="0" borderId="0" xfId="3" applyFont="1" applyAlignment="1">
      <alignment vertical="center"/>
    </xf>
    <xf numFmtId="0" fontId="51" fillId="0" borderId="0" xfId="3" applyNumberFormat="1" applyFont="1" applyFill="1" applyAlignment="1">
      <alignment horizontal="right" vertical="center"/>
    </xf>
    <xf numFmtId="166" fontId="56" fillId="0" borderId="0" xfId="3" applyNumberFormat="1" applyFont="1" applyFill="1" applyAlignment="1">
      <alignment vertical="center"/>
    </xf>
    <xf numFmtId="166" fontId="51" fillId="0" borderId="0" xfId="3" applyNumberFormat="1" applyFont="1" applyFill="1" applyAlignment="1">
      <alignment horizontal="right" vertical="center"/>
    </xf>
    <xf numFmtId="164" fontId="55" fillId="0" borderId="0" xfId="2" applyFont="1"/>
    <xf numFmtId="164" fontId="51" fillId="0" borderId="0" xfId="2" applyFont="1" applyAlignment="1">
      <alignment horizontal="center"/>
    </xf>
    <xf numFmtId="164" fontId="55" fillId="0" borderId="0" xfId="2" applyFont="1" applyAlignment="1">
      <alignment horizontal="center"/>
    </xf>
    <xf numFmtId="165" fontId="0" fillId="0" borderId="0" xfId="3" applyFont="1" applyAlignment="1">
      <alignment vertical="top"/>
    </xf>
    <xf numFmtId="164" fontId="32" fillId="0" borderId="0" xfId="2" applyAlignment="1">
      <alignment vertical="top"/>
    </xf>
    <xf numFmtId="14" fontId="40" fillId="0" borderId="0" xfId="2" applyNumberFormat="1" applyFont="1" applyAlignment="1">
      <alignment horizontal="right" vertical="top"/>
    </xf>
    <xf numFmtId="164" fontId="41" fillId="0" borderId="0" xfId="2" applyFont="1" applyAlignment="1">
      <alignment vertical="top"/>
    </xf>
    <xf numFmtId="164" fontId="39" fillId="0" borderId="0" xfId="2" applyFont="1" applyAlignment="1">
      <alignment horizontal="right" vertical="top"/>
    </xf>
    <xf numFmtId="164" fontId="39" fillId="0" borderId="0" xfId="2" applyFont="1" applyAlignment="1">
      <alignment horizontal="center" vertical="top"/>
    </xf>
    <xf numFmtId="164" fontId="32" fillId="0" borderId="0" xfId="2" applyAlignment="1">
      <alignment horizontal="center" vertical="top"/>
    </xf>
    <xf numFmtId="14" fontId="41" fillId="0" borderId="0" xfId="2" applyNumberFormat="1" applyFont="1" applyAlignment="1">
      <alignment horizontal="center" vertical="center"/>
    </xf>
    <xf numFmtId="165" fontId="41" fillId="0" borderId="0" xfId="3" applyFont="1" applyAlignment="1">
      <alignment horizontal="center" vertical="top"/>
    </xf>
    <xf numFmtId="165" fontId="41" fillId="0" borderId="0" xfId="3" applyFont="1" applyAlignment="1">
      <alignment horizontal="center" vertical="top" wrapText="1"/>
    </xf>
    <xf numFmtId="165" fontId="59" fillId="0" borderId="0" xfId="3" applyFont="1" applyAlignment="1">
      <alignment horizontal="center" vertical="top" wrapText="1"/>
    </xf>
    <xf numFmtId="14" fontId="61" fillId="0" borderId="0" xfId="2" applyNumberFormat="1" applyFont="1" applyAlignment="1">
      <alignment horizontal="center" vertical="top" wrapText="1"/>
    </xf>
    <xf numFmtId="164" fontId="41" fillId="0" borderId="0" xfId="2" applyFont="1" applyAlignment="1">
      <alignment horizontal="center" vertical="top" wrapText="1"/>
    </xf>
    <xf numFmtId="164" fontId="41" fillId="12" borderId="0" xfId="2" applyFont="1" applyFill="1" applyAlignment="1">
      <alignment horizontal="center" vertical="top" wrapText="1"/>
    </xf>
    <xf numFmtId="164" fontId="51" fillId="12" borderId="0" xfId="2" applyFont="1" applyFill="1" applyAlignment="1">
      <alignment horizontal="center" vertical="top" wrapText="1"/>
    </xf>
    <xf numFmtId="164" fontId="41" fillId="13" borderId="0" xfId="2" applyFont="1" applyFill="1" applyAlignment="1">
      <alignment horizontal="center" vertical="top" wrapText="1"/>
    </xf>
    <xf numFmtId="164" fontId="51" fillId="13" borderId="0" xfId="2" applyFont="1" applyFill="1" applyAlignment="1">
      <alignment horizontal="center" vertical="top" wrapText="1"/>
    </xf>
    <xf numFmtId="165" fontId="59" fillId="13" borderId="0" xfId="3" applyFont="1" applyFill="1" applyAlignment="1">
      <alignment horizontal="center" vertical="top" wrapText="1"/>
    </xf>
    <xf numFmtId="164" fontId="51" fillId="14" borderId="0" xfId="2" applyFont="1" applyFill="1" applyAlignment="1">
      <alignment horizontal="center" vertical="top" wrapText="1"/>
    </xf>
    <xf numFmtId="164" fontId="51" fillId="0" borderId="0" xfId="2" applyFont="1" applyAlignment="1">
      <alignment horizontal="center" vertical="top" wrapText="1"/>
    </xf>
    <xf numFmtId="164" fontId="62" fillId="0" borderId="0" xfId="2" applyFont="1" applyAlignment="1">
      <alignment vertical="top"/>
    </xf>
    <xf numFmtId="1" fontId="38" fillId="0" borderId="12" xfId="2" applyNumberFormat="1" applyFont="1" applyBorder="1" applyAlignment="1">
      <alignment horizontal="center" vertical="center" wrapText="1"/>
    </xf>
    <xf numFmtId="14" fontId="38" fillId="0" borderId="12" xfId="2" applyNumberFormat="1" applyFont="1" applyBorder="1" applyAlignment="1">
      <alignment horizontal="center" vertical="center" wrapText="1"/>
    </xf>
    <xf numFmtId="0" fontId="38" fillId="0" borderId="12" xfId="2" applyNumberFormat="1" applyFont="1" applyBorder="1" applyAlignment="1">
      <alignment horizontal="center" vertical="center" wrapText="1"/>
    </xf>
    <xf numFmtId="166" fontId="38" fillId="0" borderId="12" xfId="3" applyNumberFormat="1" applyFont="1" applyFill="1" applyBorder="1" applyAlignment="1">
      <alignment horizontal="center" vertical="center" wrapText="1"/>
    </xf>
    <xf numFmtId="165" fontId="38" fillId="0" borderId="12" xfId="3" applyFont="1" applyFill="1" applyBorder="1" applyAlignment="1">
      <alignment horizontal="center" vertical="center" wrapText="1"/>
    </xf>
    <xf numFmtId="0" fontId="38" fillId="0" borderId="18" xfId="3" applyNumberFormat="1" applyFont="1" applyFill="1" applyBorder="1" applyAlignment="1">
      <alignment horizontal="center" vertical="center" wrapText="1"/>
    </xf>
    <xf numFmtId="165" fontId="38" fillId="0" borderId="0" xfId="3" applyFont="1" applyFill="1" applyAlignment="1">
      <alignment horizontal="center" vertical="center"/>
    </xf>
    <xf numFmtId="164" fontId="38" fillId="0" borderId="0" xfId="2" applyFont="1" applyAlignment="1">
      <alignment horizontal="center"/>
    </xf>
    <xf numFmtId="164" fontId="63" fillId="0" borderId="0" xfId="2" applyFont="1"/>
    <xf numFmtId="165" fontId="42" fillId="0" borderId="12" xfId="4" applyNumberFormat="1" applyFont="1" applyBorder="1" applyAlignment="1">
      <alignment horizontal="center" vertical="center"/>
    </xf>
    <xf numFmtId="0" fontId="42" fillId="0" borderId="12" xfId="4" applyFont="1" applyBorder="1" applyAlignment="1">
      <alignment horizontal="center" vertical="center" wrapText="1"/>
    </xf>
    <xf numFmtId="0" fontId="59" fillId="0" borderId="12" xfId="4" applyFont="1" applyBorder="1" applyAlignment="1">
      <alignment horizontal="center" vertical="center"/>
    </xf>
    <xf numFmtId="0" fontId="59" fillId="0" borderId="12" xfId="4" applyFont="1" applyBorder="1" applyAlignment="1">
      <alignment vertical="center"/>
    </xf>
    <xf numFmtId="164" fontId="42" fillId="0" borderId="12" xfId="2" applyFont="1" applyBorder="1" applyAlignment="1">
      <alignment horizontal="center" vertical="center"/>
    </xf>
    <xf numFmtId="0" fontId="42" fillId="0" borderId="12" xfId="3" applyNumberFormat="1" applyFont="1" applyFill="1" applyBorder="1" applyAlignment="1">
      <alignment horizontal="left" vertical="center"/>
    </xf>
    <xf numFmtId="0" fontId="42" fillId="0" borderId="12" xfId="4" applyFont="1" applyBorder="1" applyAlignment="1">
      <alignment vertical="center" wrapText="1"/>
    </xf>
    <xf numFmtId="0" fontId="42" fillId="0" borderId="12" xfId="2" applyNumberFormat="1" applyFont="1" applyBorder="1" applyAlignment="1">
      <alignment horizontal="left" vertical="center" wrapText="1"/>
    </xf>
    <xf numFmtId="0" fontId="42" fillId="0" borderId="12" xfId="3" applyNumberFormat="1" applyFont="1" applyFill="1" applyBorder="1" applyAlignment="1">
      <alignment horizontal="center" vertical="center"/>
    </xf>
    <xf numFmtId="14" fontId="42" fillId="0" borderId="12" xfId="2" applyNumberFormat="1" applyFont="1" applyBorder="1" applyAlignment="1">
      <alignment horizontal="center" vertical="center"/>
    </xf>
    <xf numFmtId="169" fontId="42" fillId="0" borderId="12" xfId="2" applyNumberFormat="1" applyFont="1" applyBorder="1" applyAlignment="1">
      <alignment horizontal="center" vertical="center"/>
    </xf>
    <xf numFmtId="168" fontId="41" fillId="0" borderId="12" xfId="3" applyNumberFormat="1" applyFont="1" applyFill="1" applyBorder="1" applyAlignment="1">
      <alignment vertical="center" wrapText="1"/>
    </xf>
    <xf numFmtId="168" fontId="41" fillId="0" borderId="12" xfId="3" applyNumberFormat="1" applyFont="1" applyFill="1" applyBorder="1" applyAlignment="1">
      <alignment horizontal="left" vertical="center"/>
    </xf>
    <xf numFmtId="166" fontId="42" fillId="0" borderId="12" xfId="3" applyNumberFormat="1" applyFont="1" applyFill="1" applyBorder="1" applyAlignment="1">
      <alignment horizontal="left" vertical="center" wrapText="1"/>
    </xf>
    <xf numFmtId="173" fontId="58" fillId="0" borderId="12" xfId="3" applyNumberFormat="1" applyFont="1" applyFill="1" applyBorder="1" applyAlignment="1">
      <alignment horizontal="right" vertical="center" wrapText="1"/>
    </xf>
    <xf numFmtId="167" fontId="42" fillId="0" borderId="12" xfId="3" applyNumberFormat="1" applyFont="1" applyFill="1" applyBorder="1" applyAlignment="1">
      <alignment horizontal="left" vertical="center" wrapText="1"/>
    </xf>
    <xf numFmtId="167" fontId="58" fillId="0" borderId="12" xfId="3" applyNumberFormat="1" applyFont="1" applyFill="1" applyBorder="1" applyAlignment="1">
      <alignment vertical="center" wrapText="1"/>
    </xf>
    <xf numFmtId="168" fontId="42" fillId="0" borderId="12" xfId="3" applyNumberFormat="1" applyFont="1" applyFill="1" applyBorder="1" applyAlignment="1">
      <alignment vertical="center" wrapText="1"/>
    </xf>
    <xf numFmtId="166" fontId="42" fillId="0" borderId="12" xfId="3" applyNumberFormat="1" applyFont="1" applyFill="1" applyBorder="1" applyAlignment="1">
      <alignment vertical="center" wrapText="1"/>
    </xf>
    <xf numFmtId="168" fontId="42" fillId="0" borderId="12" xfId="3" applyNumberFormat="1" applyFont="1" applyFill="1" applyBorder="1" applyAlignment="1">
      <alignment horizontal="right" vertical="center" wrapText="1"/>
    </xf>
    <xf numFmtId="168" fontId="42" fillId="0" borderId="12" xfId="3" applyNumberFormat="1" applyFont="1" applyBorder="1" applyAlignment="1">
      <alignment vertical="center"/>
    </xf>
    <xf numFmtId="168" fontId="42" fillId="0" borderId="12" xfId="3" applyNumberFormat="1" applyFont="1" applyFill="1" applyBorder="1" applyAlignment="1" applyProtection="1">
      <alignment vertical="center"/>
      <protection locked="0"/>
    </xf>
    <xf numFmtId="166" fontId="42" fillId="0" borderId="12" xfId="3" applyNumberFormat="1" applyFont="1" applyFill="1" applyBorder="1" applyAlignment="1" applyProtection="1">
      <alignment horizontal="left" vertical="center"/>
      <protection locked="0"/>
    </xf>
    <xf numFmtId="166" fontId="42" fillId="0" borderId="12" xfId="3" applyNumberFormat="1" applyFont="1" applyFill="1" applyBorder="1" applyAlignment="1">
      <alignment horizontal="center" vertical="center" wrapText="1"/>
    </xf>
    <xf numFmtId="166" fontId="42" fillId="0" borderId="12" xfId="3" applyNumberFormat="1" applyFont="1" applyFill="1" applyBorder="1" applyAlignment="1" applyProtection="1">
      <alignment vertical="center"/>
      <protection locked="0"/>
    </xf>
    <xf numFmtId="166" fontId="42" fillId="0" borderId="12" xfId="3" applyNumberFormat="1" applyFont="1" applyFill="1" applyBorder="1" applyAlignment="1" applyProtection="1">
      <alignment vertical="center"/>
    </xf>
    <xf numFmtId="168" fontId="42" fillId="0" borderId="12" xfId="3" applyNumberFormat="1" applyFont="1" applyFill="1" applyBorder="1" applyAlignment="1" applyProtection="1">
      <alignment vertical="center"/>
    </xf>
    <xf numFmtId="168" fontId="41" fillId="0" borderId="12" xfId="3" applyNumberFormat="1" applyFont="1" applyFill="1" applyBorder="1" applyAlignment="1">
      <alignment horizontal="center" vertical="center" wrapText="1"/>
    </xf>
    <xf numFmtId="165" fontId="42" fillId="0" borderId="12" xfId="3" applyFont="1" applyFill="1" applyBorder="1" applyAlignment="1">
      <alignment horizontal="left" vertical="center" wrapText="1"/>
    </xf>
    <xf numFmtId="166" fontId="58" fillId="0" borderId="12" xfId="3" applyNumberFormat="1" applyFont="1" applyFill="1" applyBorder="1" applyAlignment="1">
      <alignment horizontal="right" vertical="center" wrapText="1"/>
    </xf>
    <xf numFmtId="1" fontId="42" fillId="0" borderId="12" xfId="3" applyNumberFormat="1" applyFont="1" applyFill="1" applyBorder="1" applyAlignment="1">
      <alignment horizontal="center" vertical="center" wrapText="1"/>
    </xf>
    <xf numFmtId="168" fontId="42" fillId="0" borderId="12" xfId="3" applyNumberFormat="1" applyFont="1" applyFill="1" applyBorder="1" applyAlignment="1">
      <alignment vertical="center"/>
    </xf>
    <xf numFmtId="168" fontId="42" fillId="0" borderId="12" xfId="3" applyNumberFormat="1" applyFont="1" applyFill="1" applyBorder="1" applyAlignment="1">
      <alignment horizontal="left" vertical="center" wrapText="1"/>
    </xf>
    <xf numFmtId="168" fontId="42" fillId="0" borderId="12" xfId="3" applyNumberFormat="1" applyFont="1" applyFill="1" applyBorder="1" applyAlignment="1">
      <alignment horizontal="left" vertical="center"/>
    </xf>
    <xf numFmtId="14" fontId="42" fillId="0" borderId="0" xfId="2" applyNumberFormat="1" applyFont="1" applyAlignment="1">
      <alignment horizontal="left" vertical="center" wrapText="1"/>
    </xf>
    <xf numFmtId="168" fontId="42" fillId="0" borderId="0" xfId="3" applyNumberFormat="1" applyFont="1" applyAlignment="1">
      <alignment horizontal="center" vertical="center" wrapText="1"/>
    </xf>
    <xf numFmtId="174" fontId="61" fillId="0" borderId="0" xfId="2" applyNumberFormat="1" applyFont="1" applyAlignment="1">
      <alignment horizontal="center" vertical="center"/>
    </xf>
    <xf numFmtId="166" fontId="42" fillId="0" borderId="0" xfId="2" applyNumberFormat="1" applyFont="1" applyAlignment="1">
      <alignment horizontal="left" vertical="center"/>
    </xf>
    <xf numFmtId="3" fontId="52" fillId="0" borderId="0" xfId="2" applyNumberFormat="1" applyFont="1" applyAlignment="1">
      <alignment horizontal="right" vertical="center"/>
    </xf>
    <xf numFmtId="3" fontId="42" fillId="0" borderId="0" xfId="2" applyNumberFormat="1" applyFont="1" applyAlignment="1">
      <alignment horizontal="left" vertical="center"/>
    </xf>
    <xf numFmtId="14" fontId="42" fillId="0" borderId="0" xfId="2" applyNumberFormat="1" applyFont="1" applyAlignment="1">
      <alignment horizontal="center" vertical="center"/>
    </xf>
    <xf numFmtId="166" fontId="42" fillId="0" borderId="0" xfId="2" applyNumberFormat="1" applyFont="1" applyAlignment="1">
      <alignment horizontal="center" vertical="center"/>
    </xf>
    <xf numFmtId="165" fontId="42" fillId="0" borderId="0" xfId="3" applyFont="1" applyAlignment="1">
      <alignment horizontal="center" vertical="center"/>
    </xf>
    <xf numFmtId="168" fontId="42" fillId="0" borderId="0" xfId="3" applyNumberFormat="1" applyFont="1" applyAlignment="1">
      <alignment vertical="center"/>
    </xf>
    <xf numFmtId="168" fontId="42" fillId="0" borderId="0" xfId="3" applyNumberFormat="1" applyFont="1" applyAlignment="1">
      <alignment horizontal="center" vertical="center"/>
    </xf>
    <xf numFmtId="14" fontId="42" fillId="0" borderId="0" xfId="3" applyNumberFormat="1" applyFont="1" applyAlignment="1">
      <alignment horizontal="center" vertical="center"/>
    </xf>
    <xf numFmtId="3" fontId="42" fillId="0" borderId="0" xfId="2" applyNumberFormat="1" applyFont="1" applyAlignment="1">
      <alignment horizontal="center" vertical="center"/>
    </xf>
    <xf numFmtId="14" fontId="42" fillId="0" borderId="0" xfId="2" applyNumberFormat="1" applyFont="1" applyAlignment="1">
      <alignment horizontal="left" vertical="center"/>
    </xf>
    <xf numFmtId="166" fontId="41" fillId="0" borderId="12" xfId="3" applyNumberFormat="1" applyFont="1" applyFill="1" applyBorder="1" applyAlignment="1">
      <alignment horizontal="center" vertical="center" wrapText="1"/>
    </xf>
    <xf numFmtId="168" fontId="0" fillId="0" borderId="0" xfId="3" applyNumberFormat="1" applyFont="1"/>
    <xf numFmtId="164" fontId="32" fillId="0" borderId="0" xfId="2" applyAlignment="1">
      <alignment horizontal="center"/>
    </xf>
    <xf numFmtId="168" fontId="32" fillId="0" borderId="0" xfId="3" applyNumberFormat="1" applyFont="1"/>
    <xf numFmtId="0" fontId="0" fillId="0" borderId="2" xfId="0" applyBorder="1" applyAlignment="1">
      <alignment horizontal="center"/>
    </xf>
    <xf numFmtId="0" fontId="69" fillId="0" borderId="2" xfId="0" applyFont="1" applyBorder="1"/>
    <xf numFmtId="0" fontId="69" fillId="15" borderId="2" xfId="0" applyFont="1" applyFill="1" applyBorder="1"/>
    <xf numFmtId="0" fontId="4" fillId="0" borderId="2" xfId="0" applyFont="1" applyBorder="1"/>
    <xf numFmtId="0" fontId="0" fillId="15" borderId="2" xfId="0" applyFill="1" applyBorder="1"/>
    <xf numFmtId="0" fontId="18" fillId="10" borderId="7" xfId="0" applyFont="1" applyFill="1" applyBorder="1"/>
    <xf numFmtId="0" fontId="35" fillId="0" borderId="12" xfId="0" applyFont="1" applyBorder="1" applyAlignment="1">
      <alignment vertical="top"/>
    </xf>
    <xf numFmtId="0" fontId="39" fillId="0" borderId="12" xfId="0" applyFont="1" applyBorder="1" applyAlignment="1">
      <alignment vertical="top"/>
    </xf>
    <xf numFmtId="0" fontId="39" fillId="0" borderId="12" xfId="0" applyFont="1" applyBorder="1" applyAlignment="1">
      <alignment vertical="center"/>
    </xf>
    <xf numFmtId="0" fontId="39" fillId="0" borderId="12" xfId="0" applyFont="1" applyBorder="1" applyAlignment="1">
      <alignment vertical="top" wrapText="1"/>
    </xf>
    <xf numFmtId="0" fontId="39" fillId="0" borderId="12" xfId="0" applyFont="1" applyBorder="1"/>
    <xf numFmtId="0" fontId="39" fillId="0" borderId="12" xfId="0" quotePrefix="1" applyFont="1" applyBorder="1" applyAlignment="1">
      <alignment vertical="top" wrapText="1"/>
    </xf>
    <xf numFmtId="0" fontId="35" fillId="0" borderId="12" xfId="0" applyFont="1" applyBorder="1" applyAlignment="1">
      <alignment horizontal="left" vertical="top"/>
    </xf>
    <xf numFmtId="0" fontId="35" fillId="0" borderId="12" xfId="0" applyFont="1" applyBorder="1" applyAlignment="1">
      <alignment vertical="top" wrapText="1"/>
    </xf>
    <xf numFmtId="0" fontId="39" fillId="0" borderId="12" xfId="0" quotePrefix="1" applyFont="1" applyBorder="1" applyAlignment="1">
      <alignment wrapText="1"/>
    </xf>
    <xf numFmtId="0" fontId="0" fillId="0" borderId="0" xfId="0" applyAlignment="1">
      <alignment wrapText="1"/>
    </xf>
    <xf numFmtId="0" fontId="34" fillId="0" borderId="15" xfId="0" applyFont="1" applyBorder="1" applyAlignment="1">
      <alignment wrapText="1" readingOrder="1"/>
    </xf>
    <xf numFmtId="0" fontId="34" fillId="16" borderId="15" xfId="0" applyFont="1" applyFill="1" applyBorder="1" applyAlignment="1">
      <alignment wrapText="1" readingOrder="1"/>
    </xf>
    <xf numFmtId="0" fontId="24" fillId="0" borderId="14" xfId="0" applyFont="1" applyBorder="1" applyAlignment="1">
      <alignment readingOrder="1"/>
    </xf>
    <xf numFmtId="14" fontId="33" fillId="17" borderId="12" xfId="2" applyNumberFormat="1" applyFont="1" applyFill="1" applyBorder="1" applyAlignment="1">
      <alignment vertical="top" wrapText="1"/>
    </xf>
    <xf numFmtId="175" fontId="72" fillId="0" borderId="30" xfId="7" applyNumberFormat="1" applyFont="1" applyBorder="1" applyAlignment="1">
      <alignment horizontal="left" vertical="center"/>
    </xf>
    <xf numFmtId="14" fontId="73" fillId="18" borderId="0" xfId="0" applyNumberFormat="1" applyFont="1" applyFill="1"/>
    <xf numFmtId="0" fontId="74" fillId="18" borderId="0" xfId="0" applyFont="1" applyFill="1"/>
    <xf numFmtId="0" fontId="76" fillId="19" borderId="18" xfId="0" applyFont="1" applyFill="1" applyBorder="1" applyAlignment="1">
      <alignment vertical="center"/>
    </xf>
    <xf numFmtId="0" fontId="73" fillId="20" borderId="19" xfId="0" applyFont="1" applyFill="1" applyBorder="1" applyAlignment="1">
      <alignment vertical="center"/>
    </xf>
    <xf numFmtId="0" fontId="73" fillId="20" borderId="33" xfId="0" applyFont="1" applyFill="1" applyBorder="1" applyAlignment="1">
      <alignment vertical="center"/>
    </xf>
    <xf numFmtId="0" fontId="74" fillId="18" borderId="30" xfId="0" applyFont="1" applyFill="1" applyBorder="1"/>
    <xf numFmtId="0" fontId="77" fillId="18" borderId="21" xfId="0" applyFont="1" applyFill="1" applyBorder="1" applyAlignment="1">
      <alignment vertical="center"/>
    </xf>
    <xf numFmtId="0" fontId="74" fillId="18" borderId="29" xfId="0" applyFont="1" applyFill="1" applyBorder="1" applyAlignment="1">
      <alignment vertical="center"/>
    </xf>
    <xf numFmtId="0" fontId="74" fillId="18" borderId="34" xfId="0" applyFont="1" applyFill="1" applyBorder="1" applyAlignment="1">
      <alignment vertical="center"/>
    </xf>
    <xf numFmtId="0" fontId="75" fillId="18" borderId="30" xfId="0" applyFont="1" applyFill="1" applyBorder="1" applyAlignment="1">
      <alignment vertical="center"/>
    </xf>
    <xf numFmtId="0" fontId="78" fillId="18" borderId="0" xfId="0" applyFont="1" applyFill="1" applyAlignment="1">
      <alignment horizontal="left" vertical="center"/>
    </xf>
    <xf numFmtId="0" fontId="75" fillId="18" borderId="0" xfId="0" applyFont="1" applyFill="1" applyAlignment="1">
      <alignment vertical="center"/>
    </xf>
    <xf numFmtId="0" fontId="79" fillId="18" borderId="0" xfId="0" applyFont="1" applyFill="1" applyAlignment="1">
      <alignment vertical="center"/>
    </xf>
    <xf numFmtId="0" fontId="75" fillId="18" borderId="35" xfId="0" applyFont="1" applyFill="1" applyBorder="1" applyAlignment="1">
      <alignment vertical="center"/>
    </xf>
    <xf numFmtId="0" fontId="75" fillId="18" borderId="0" xfId="0" applyFont="1" applyFill="1" applyAlignment="1">
      <alignment horizontal="left" vertical="center"/>
    </xf>
    <xf numFmtId="0" fontId="75" fillId="18" borderId="35" xfId="0" applyFont="1" applyFill="1" applyBorder="1"/>
    <xf numFmtId="0" fontId="74" fillId="18" borderId="0" xfId="0" applyFont="1" applyFill="1" applyAlignment="1">
      <alignment vertical="center"/>
    </xf>
    <xf numFmtId="0" fontId="75" fillId="18" borderId="36" xfId="0" applyFont="1" applyFill="1" applyBorder="1" applyAlignment="1">
      <alignment vertical="center"/>
    </xf>
    <xf numFmtId="0" fontId="75" fillId="18" borderId="35" xfId="0" applyFont="1" applyFill="1" applyBorder="1" applyAlignment="1">
      <alignment horizontal="left" vertical="center"/>
    </xf>
    <xf numFmtId="0" fontId="75" fillId="0" borderId="30" xfId="0" applyFont="1" applyBorder="1" applyAlignment="1">
      <alignment vertical="center"/>
    </xf>
    <xf numFmtId="0" fontId="75" fillId="0" borderId="37" xfId="0" applyFont="1" applyBorder="1" applyAlignment="1">
      <alignment horizontal="left" vertical="center"/>
    </xf>
    <xf numFmtId="0" fontId="75" fillId="0" borderId="38" xfId="0" applyFont="1" applyBorder="1" applyAlignment="1">
      <alignment vertical="center"/>
    </xf>
    <xf numFmtId="0" fontId="79" fillId="0" borderId="38" xfId="0" applyFont="1" applyBorder="1" applyAlignment="1">
      <alignment vertical="center"/>
    </xf>
    <xf numFmtId="0" fontId="75" fillId="0" borderId="38" xfId="0" applyFont="1" applyBorder="1" applyAlignment="1">
      <alignment horizontal="right" vertical="center"/>
    </xf>
    <xf numFmtId="0" fontId="75" fillId="0" borderId="39" xfId="0" applyFont="1" applyBorder="1" applyAlignment="1">
      <alignment horizontal="right" vertical="center"/>
    </xf>
    <xf numFmtId="0" fontId="75" fillId="0" borderId="35" xfId="0" applyFont="1" applyBorder="1" applyAlignment="1">
      <alignment vertical="center"/>
    </xf>
    <xf numFmtId="0" fontId="74" fillId="0" borderId="30" xfId="0" applyFont="1" applyBorder="1"/>
    <xf numFmtId="0" fontId="74" fillId="0" borderId="0" xfId="0" applyFont="1"/>
    <xf numFmtId="0" fontId="75" fillId="18" borderId="30" xfId="0" applyFont="1" applyFill="1" applyBorder="1"/>
    <xf numFmtId="0" fontId="75" fillId="0" borderId="40" xfId="0" applyFont="1" applyBorder="1" applyAlignment="1">
      <alignment horizontal="left"/>
    </xf>
    <xf numFmtId="0" fontId="80" fillId="18" borderId="0" xfId="0" applyFont="1" applyFill="1"/>
    <xf numFmtId="0" fontId="74" fillId="18" borderId="31" xfId="0" applyFont="1" applyFill="1" applyBorder="1" applyAlignment="1">
      <alignment vertical="center"/>
    </xf>
    <xf numFmtId="0" fontId="74" fillId="18" borderId="25" xfId="0" applyFont="1" applyFill="1" applyBorder="1" applyAlignment="1">
      <alignment vertical="center"/>
    </xf>
    <xf numFmtId="0" fontId="74" fillId="18" borderId="41" xfId="0" applyFont="1" applyFill="1" applyBorder="1" applyAlignment="1">
      <alignment vertical="center"/>
    </xf>
    <xf numFmtId="0" fontId="76" fillId="19" borderId="31" xfId="0" applyFont="1" applyFill="1" applyBorder="1" applyAlignment="1">
      <alignment vertical="center"/>
    </xf>
    <xf numFmtId="0" fontId="74" fillId="20" borderId="25" xfId="0" applyFont="1" applyFill="1" applyBorder="1" applyAlignment="1">
      <alignment vertical="center"/>
    </xf>
    <xf numFmtId="0" fontId="74" fillId="20" borderId="41" xfId="0" applyFont="1" applyFill="1" applyBorder="1" applyAlignment="1">
      <alignment vertical="center"/>
    </xf>
    <xf numFmtId="0" fontId="75" fillId="18" borderId="29" xfId="0" applyFont="1" applyFill="1" applyBorder="1" applyAlignment="1">
      <alignment horizontal="right" vertical="center"/>
    </xf>
    <xf numFmtId="0" fontId="75" fillId="18" borderId="0" xfId="0" applyFont="1" applyFill="1"/>
    <xf numFmtId="0" fontId="75" fillId="18" borderId="0" xfId="0" applyFont="1" applyFill="1" applyAlignment="1">
      <alignment horizontal="right" vertical="center"/>
    </xf>
    <xf numFmtId="0" fontId="74" fillId="18" borderId="0" xfId="0" applyFont="1" applyFill="1" applyAlignment="1">
      <alignment horizontal="right" vertical="center"/>
    </xf>
    <xf numFmtId="0" fontId="77" fillId="18" borderId="0" xfId="0" applyFont="1" applyFill="1" applyAlignment="1">
      <alignment vertical="center"/>
    </xf>
    <xf numFmtId="0" fontId="81" fillId="18" borderId="30" xfId="0" applyFont="1" applyFill="1" applyBorder="1" applyAlignment="1">
      <alignment vertical="center"/>
    </xf>
    <xf numFmtId="0" fontId="81" fillId="18" borderId="0" xfId="0" applyFont="1" applyFill="1" applyAlignment="1">
      <alignment vertical="center"/>
    </xf>
    <xf numFmtId="0" fontId="81" fillId="18" borderId="0" xfId="0" applyFont="1" applyFill="1"/>
    <xf numFmtId="0" fontId="82" fillId="18" borderId="30" xfId="0" applyFont="1" applyFill="1" applyBorder="1"/>
    <xf numFmtId="0" fontId="82" fillId="18" borderId="0" xfId="0" applyFont="1" applyFill="1"/>
    <xf numFmtId="0" fontId="82" fillId="18" borderId="0" xfId="0" applyFont="1" applyFill="1" applyAlignment="1">
      <alignment vertical="center"/>
    </xf>
    <xf numFmtId="0" fontId="82" fillId="18" borderId="0" xfId="0" applyFont="1" applyFill="1" applyAlignment="1">
      <alignment horizontal="right" vertical="center"/>
    </xf>
    <xf numFmtId="0" fontId="78" fillId="18" borderId="30" xfId="0" applyFont="1" applyFill="1" applyBorder="1" applyAlignment="1">
      <alignment vertical="center"/>
    </xf>
    <xf numFmtId="0" fontId="78" fillId="18" borderId="0" xfId="0" applyFont="1" applyFill="1" applyAlignment="1">
      <alignment vertical="center"/>
    </xf>
    <xf numFmtId="0" fontId="78" fillId="18" borderId="0" xfId="0" applyFont="1" applyFill="1" applyAlignment="1">
      <alignment vertical="center" wrapText="1"/>
    </xf>
    <xf numFmtId="0" fontId="78" fillId="18" borderId="0" xfId="0" applyFont="1" applyFill="1"/>
    <xf numFmtId="0" fontId="78" fillId="18" borderId="0" xfId="0" applyFont="1" applyFill="1" applyAlignment="1">
      <alignment horizontal="right" vertical="center"/>
    </xf>
    <xf numFmtId="0" fontId="78" fillId="18" borderId="35" xfId="0" applyFont="1" applyFill="1" applyBorder="1" applyAlignment="1">
      <alignment vertical="center"/>
    </xf>
    <xf numFmtId="0" fontId="74" fillId="18" borderId="42" xfId="0" applyFont="1" applyFill="1" applyBorder="1"/>
    <xf numFmtId="0" fontId="79" fillId="18" borderId="30" xfId="0" applyFont="1" applyFill="1" applyBorder="1" applyAlignment="1">
      <alignment vertical="center"/>
    </xf>
    <xf numFmtId="41" fontId="75" fillId="18" borderId="29" xfId="0" applyNumberFormat="1" applyFont="1" applyFill="1" applyBorder="1" applyAlignment="1">
      <alignment horizontal="right" vertical="center"/>
    </xf>
    <xf numFmtId="41" fontId="75" fillId="18" borderId="0" xfId="0" applyNumberFormat="1" applyFont="1" applyFill="1" applyAlignment="1">
      <alignment horizontal="right" vertical="center"/>
    </xf>
    <xf numFmtId="0" fontId="80" fillId="18" borderId="30" xfId="0" applyFont="1" applyFill="1" applyBorder="1" applyAlignment="1">
      <alignment vertical="center"/>
    </xf>
    <xf numFmtId="0" fontId="75" fillId="0" borderId="37" xfId="0" applyFont="1" applyBorder="1" applyAlignment="1">
      <alignment vertical="center"/>
    </xf>
    <xf numFmtId="0" fontId="75" fillId="0" borderId="39" xfId="0" applyFont="1" applyBorder="1" applyAlignment="1">
      <alignment vertical="center"/>
    </xf>
    <xf numFmtId="0" fontId="75" fillId="0" borderId="0" xfId="0" applyFont="1" applyAlignment="1">
      <alignment horizontal="right" vertical="center"/>
    </xf>
    <xf numFmtId="41" fontId="75" fillId="0" borderId="39" xfId="0" applyNumberFormat="1" applyFont="1" applyBorder="1" applyAlignment="1">
      <alignment horizontal="right" vertical="center"/>
    </xf>
    <xf numFmtId="0" fontId="75" fillId="0" borderId="43" xfId="0" applyFont="1" applyBorder="1" applyAlignment="1">
      <alignment vertical="center"/>
    </xf>
    <xf numFmtId="0" fontId="78" fillId="0" borderId="40" xfId="0" applyFont="1" applyBorder="1" applyAlignment="1">
      <alignment vertical="center"/>
    </xf>
    <xf numFmtId="41" fontId="78" fillId="18" borderId="0" xfId="0" applyNumberFormat="1" applyFont="1" applyFill="1" applyAlignment="1">
      <alignment horizontal="right" vertical="center"/>
    </xf>
    <xf numFmtId="0" fontId="74" fillId="18" borderId="25" xfId="0" applyFont="1" applyFill="1" applyBorder="1" applyAlignment="1">
      <alignment horizontal="right" vertical="center"/>
    </xf>
    <xf numFmtId="0" fontId="83" fillId="18" borderId="30" xfId="0" applyFont="1" applyFill="1" applyBorder="1" applyAlignment="1">
      <alignment vertical="top"/>
    </xf>
    <xf numFmtId="0" fontId="84" fillId="18" borderId="0" xfId="0" applyFont="1" applyFill="1" applyAlignment="1">
      <alignment vertical="top"/>
    </xf>
    <xf numFmtId="0" fontId="83" fillId="18" borderId="0" xfId="0" applyFont="1" applyFill="1" applyAlignment="1">
      <alignment vertical="top"/>
    </xf>
    <xf numFmtId="0" fontId="83" fillId="18" borderId="35" xfId="0" applyFont="1" applyFill="1" applyBorder="1" applyAlignment="1">
      <alignment vertical="top"/>
    </xf>
    <xf numFmtId="0" fontId="86" fillId="18" borderId="30" xfId="0" applyFont="1" applyFill="1" applyBorder="1"/>
    <xf numFmtId="0" fontId="86" fillId="18" borderId="0" xfId="0" applyFont="1" applyFill="1"/>
    <xf numFmtId="0" fontId="87" fillId="0" borderId="30" xfId="0" applyFont="1" applyBorder="1" applyAlignment="1">
      <alignment vertical="center"/>
    </xf>
    <xf numFmtId="0" fontId="78" fillId="0" borderId="0" xfId="0" applyFont="1"/>
    <xf numFmtId="0" fontId="74" fillId="18" borderId="44" xfId="0" applyFont="1" applyFill="1" applyBorder="1" applyAlignment="1">
      <alignment vertical="center"/>
    </xf>
    <xf numFmtId="0" fontId="74" fillId="18" borderId="45" xfId="0" applyFont="1" applyFill="1" applyBorder="1" applyAlignment="1">
      <alignment vertical="center"/>
    </xf>
    <xf numFmtId="0" fontId="74" fillId="18" borderId="46" xfId="0" applyFont="1" applyFill="1" applyBorder="1" applyAlignment="1">
      <alignment vertical="center"/>
    </xf>
    <xf numFmtId="0" fontId="74" fillId="18" borderId="47" xfId="0" applyFont="1" applyFill="1" applyBorder="1" applyAlignment="1">
      <alignment vertical="center"/>
    </xf>
    <xf numFmtId="0" fontId="74" fillId="18" borderId="48" xfId="0" applyFont="1" applyFill="1" applyBorder="1" applyAlignment="1">
      <alignment vertical="center"/>
    </xf>
    <xf numFmtId="0" fontId="78" fillId="18" borderId="30" xfId="0" applyFont="1" applyFill="1" applyBorder="1" applyAlignment="1">
      <alignment vertical="top"/>
    </xf>
    <xf numFmtId="0" fontId="78" fillId="18" borderId="0" xfId="0" applyFont="1" applyFill="1" applyAlignment="1">
      <alignment horizontal="center" vertical="top"/>
    </xf>
    <xf numFmtId="0" fontId="78" fillId="18" borderId="0" xfId="0" applyFont="1" applyFill="1" applyAlignment="1">
      <alignment vertical="top" wrapText="1"/>
    </xf>
    <xf numFmtId="0" fontId="78" fillId="18" borderId="35" xfId="0" applyFont="1" applyFill="1" applyBorder="1" applyAlignment="1">
      <alignment vertical="top" wrapText="1"/>
    </xf>
    <xf numFmtId="0" fontId="75" fillId="18" borderId="0" xfId="0" applyFont="1" applyFill="1" applyAlignment="1">
      <alignment horizontal="center" vertical="center"/>
    </xf>
    <xf numFmtId="0" fontId="88" fillId="18" borderId="30" xfId="0" applyFont="1" applyFill="1" applyBorder="1" applyAlignment="1">
      <alignment vertical="center"/>
    </xf>
    <xf numFmtId="0" fontId="78" fillId="18" borderId="0" xfId="0" applyFont="1" applyFill="1" applyAlignment="1">
      <alignment horizontal="center" vertical="center"/>
    </xf>
    <xf numFmtId="0" fontId="78" fillId="18" borderId="35" xfId="0" applyFont="1" applyFill="1" applyBorder="1" applyAlignment="1">
      <alignment horizontal="left" vertical="center"/>
    </xf>
    <xf numFmtId="0" fontId="74" fillId="18" borderId="49" xfId="0" applyFont="1" applyFill="1" applyBorder="1" applyAlignment="1">
      <alignment vertical="center"/>
    </xf>
    <xf numFmtId="0" fontId="74" fillId="18" borderId="44" xfId="0" applyFont="1" applyFill="1" applyBorder="1" applyAlignment="1">
      <alignment horizontal="right" vertical="center"/>
    </xf>
    <xf numFmtId="0" fontId="75" fillId="0" borderId="50" xfId="0" applyFont="1" applyBorder="1" applyAlignment="1">
      <alignment vertical="center"/>
    </xf>
    <xf numFmtId="0" fontId="75" fillId="0" borderId="51" xfId="0" applyFont="1" applyBorder="1" applyAlignment="1">
      <alignment vertical="center"/>
    </xf>
    <xf numFmtId="0" fontId="75" fillId="0" borderId="0" xfId="0" applyFont="1" applyAlignment="1">
      <alignment vertical="center"/>
    </xf>
    <xf numFmtId="0" fontId="75" fillId="0" borderId="40" xfId="0" applyFont="1" applyBorder="1" applyAlignment="1">
      <alignment vertical="center"/>
    </xf>
    <xf numFmtId="41" fontId="75" fillId="18" borderId="50" xfId="0" applyNumberFormat="1" applyFont="1" applyFill="1" applyBorder="1" applyAlignment="1">
      <alignment horizontal="right" vertical="center"/>
    </xf>
    <xf numFmtId="0" fontId="78" fillId="0" borderId="52" xfId="0" applyFont="1" applyBorder="1" applyAlignment="1">
      <alignment vertical="center"/>
    </xf>
    <xf numFmtId="0" fontId="78" fillId="0" borderId="53" xfId="0" applyFont="1" applyBorder="1" applyAlignment="1">
      <alignment vertical="center"/>
    </xf>
    <xf numFmtId="0" fontId="75" fillId="0" borderId="53" xfId="0" applyFont="1" applyBorder="1" applyAlignment="1">
      <alignment vertical="center"/>
    </xf>
    <xf numFmtId="41" fontId="78" fillId="0" borderId="53" xfId="0" applyNumberFormat="1" applyFont="1" applyBorder="1" applyAlignment="1">
      <alignment horizontal="right" vertical="center"/>
    </xf>
    <xf numFmtId="0" fontId="78" fillId="0" borderId="54" xfId="0" applyFont="1" applyBorder="1" applyAlignment="1">
      <alignment horizontal="left" vertical="center"/>
    </xf>
    <xf numFmtId="0" fontId="79" fillId="0" borderId="55" xfId="0" applyFont="1" applyBorder="1" applyAlignment="1">
      <alignment vertical="center"/>
    </xf>
    <xf numFmtId="0" fontId="87" fillId="0" borderId="56" xfId="0" applyFont="1" applyBorder="1" applyAlignment="1">
      <alignment vertical="center"/>
    </xf>
    <xf numFmtId="0" fontId="75" fillId="0" borderId="57" xfId="0" applyFont="1" applyBorder="1" applyAlignment="1">
      <alignment vertical="center"/>
    </xf>
    <xf numFmtId="41" fontId="75" fillId="0" borderId="57" xfId="0" applyNumberFormat="1" applyFont="1" applyBorder="1" applyAlignment="1">
      <alignment horizontal="right" vertical="center"/>
    </xf>
    <xf numFmtId="0" fontId="75" fillId="0" borderId="58" xfId="0" applyFont="1" applyBorder="1" applyAlignment="1">
      <alignment horizontal="left" vertical="center"/>
    </xf>
    <xf numFmtId="0" fontId="75" fillId="0" borderId="56" xfId="0" applyFont="1" applyBorder="1" applyAlignment="1">
      <alignment vertical="center"/>
    </xf>
    <xf numFmtId="0" fontId="75" fillId="0" borderId="56" xfId="0" applyFont="1" applyBorder="1" applyAlignment="1">
      <alignment vertical="center" wrapText="1"/>
    </xf>
    <xf numFmtId="0" fontId="75" fillId="18" borderId="49" xfId="0" applyFont="1" applyFill="1" applyBorder="1" applyAlignment="1">
      <alignment vertical="center"/>
    </xf>
    <xf numFmtId="0" fontId="75" fillId="0" borderId="59" xfId="0" applyFont="1" applyBorder="1" applyAlignment="1">
      <alignment vertical="center"/>
    </xf>
    <xf numFmtId="0" fontId="75" fillId="18" borderId="44" xfId="0" applyFont="1" applyFill="1" applyBorder="1" applyAlignment="1">
      <alignment vertical="center"/>
    </xf>
    <xf numFmtId="41" fontId="75" fillId="18" borderId="44" xfId="0" applyNumberFormat="1" applyFont="1" applyFill="1" applyBorder="1" applyAlignment="1">
      <alignment horizontal="right" vertical="center"/>
    </xf>
    <xf numFmtId="0" fontId="75" fillId="18" borderId="60" xfId="0" applyFont="1" applyFill="1" applyBorder="1" applyAlignment="1">
      <alignment horizontal="left" vertical="center"/>
    </xf>
    <xf numFmtId="0" fontId="78" fillId="18" borderId="30" xfId="0" applyFont="1" applyFill="1" applyBorder="1" applyAlignment="1">
      <alignment vertical="top" wrapText="1"/>
    </xf>
    <xf numFmtId="0" fontId="78" fillId="0" borderId="0" xfId="0" applyFont="1" applyAlignment="1">
      <alignment vertical="top"/>
    </xf>
    <xf numFmtId="0" fontId="78" fillId="18" borderId="0" xfId="0" applyFont="1" applyFill="1" applyAlignment="1">
      <alignment vertical="top"/>
    </xf>
    <xf numFmtId="0" fontId="78" fillId="18" borderId="35" xfId="0" applyFont="1" applyFill="1" applyBorder="1" applyAlignment="1">
      <alignment vertical="top"/>
    </xf>
    <xf numFmtId="0" fontId="88" fillId="0" borderId="30" xfId="0" applyFont="1" applyBorder="1" applyAlignment="1">
      <alignment vertical="top" wrapText="1"/>
    </xf>
    <xf numFmtId="0" fontId="75" fillId="0" borderId="61" xfId="0" applyFont="1" applyBorder="1" applyAlignment="1">
      <alignment vertical="top"/>
    </xf>
    <xf numFmtId="0" fontId="75" fillId="0" borderId="62" xfId="0" applyFont="1" applyBorder="1" applyAlignment="1">
      <alignment vertical="top"/>
    </xf>
    <xf numFmtId="41" fontId="78" fillId="0" borderId="62" xfId="0" applyNumberFormat="1" applyFont="1" applyBorder="1" applyAlignment="1">
      <alignment vertical="top" wrapText="1"/>
    </xf>
    <xf numFmtId="41" fontId="35" fillId="0" borderId="62" xfId="0" applyNumberFormat="1" applyFont="1" applyBorder="1" applyAlignment="1">
      <alignment horizontal="center" vertical="top" wrapText="1"/>
    </xf>
    <xf numFmtId="41" fontId="78" fillId="0" borderId="37" xfId="0" applyNumberFormat="1" applyFont="1" applyBorder="1" applyAlignment="1">
      <alignment vertical="top"/>
    </xf>
    <xf numFmtId="41" fontId="78" fillId="0" borderId="43" xfId="0" applyNumberFormat="1" applyFont="1" applyBorder="1" applyAlignment="1">
      <alignment vertical="top"/>
    </xf>
    <xf numFmtId="0" fontId="74" fillId="18" borderId="30" xfId="0" applyFont="1" applyFill="1" applyBorder="1" applyAlignment="1">
      <alignment vertical="top"/>
    </xf>
    <xf numFmtId="0" fontId="74" fillId="18" borderId="0" xfId="0" applyFont="1" applyFill="1" applyAlignment="1">
      <alignment vertical="top"/>
    </xf>
    <xf numFmtId="41" fontId="78" fillId="0" borderId="52" xfId="0" applyNumberFormat="1" applyFont="1" applyBorder="1" applyAlignment="1">
      <alignment vertical="center"/>
    </xf>
    <xf numFmtId="41" fontId="78" fillId="0" borderId="53" xfId="0" applyNumberFormat="1" applyFont="1" applyBorder="1" applyAlignment="1">
      <alignment vertical="center"/>
    </xf>
    <xf numFmtId="0" fontId="77" fillId="18" borderId="31" xfId="0" applyFont="1" applyFill="1" applyBorder="1" applyAlignment="1">
      <alignment vertical="center"/>
    </xf>
    <xf numFmtId="0" fontId="78" fillId="18" borderId="21" xfId="0" applyFont="1" applyFill="1" applyBorder="1" applyAlignment="1">
      <alignment vertical="center"/>
    </xf>
    <xf numFmtId="0" fontId="75" fillId="18" borderId="29" xfId="0" applyFont="1" applyFill="1" applyBorder="1" applyAlignment="1">
      <alignment vertical="center"/>
    </xf>
    <xf numFmtId="0" fontId="75" fillId="18" borderId="22" xfId="0" applyFont="1" applyFill="1" applyBorder="1" applyAlignment="1">
      <alignment vertical="center"/>
    </xf>
    <xf numFmtId="0" fontId="75" fillId="18" borderId="50" xfId="0" applyFont="1" applyFill="1" applyBorder="1" applyAlignment="1">
      <alignment vertical="center"/>
    </xf>
    <xf numFmtId="0" fontId="78" fillId="18" borderId="30" xfId="0" applyFont="1" applyFill="1" applyBorder="1" applyAlignment="1">
      <alignment vertical="center" wrapText="1"/>
    </xf>
    <xf numFmtId="0" fontId="78" fillId="0" borderId="57" xfId="0" applyFont="1" applyBorder="1" applyAlignment="1">
      <alignment vertical="center"/>
    </xf>
    <xf numFmtId="41" fontId="78" fillId="0" borderId="57" xfId="0" applyNumberFormat="1" applyFont="1" applyBorder="1" applyAlignment="1">
      <alignment horizontal="right" vertical="center"/>
    </xf>
    <xf numFmtId="0" fontId="78" fillId="0" borderId="58" xfId="0" applyFont="1" applyBorder="1" applyAlignment="1">
      <alignment horizontal="left" vertical="center"/>
    </xf>
    <xf numFmtId="41" fontId="75" fillId="18" borderId="40" xfId="0" applyNumberFormat="1" applyFont="1" applyFill="1" applyBorder="1" applyAlignment="1">
      <alignment horizontal="right" vertical="center"/>
    </xf>
    <xf numFmtId="0" fontId="86" fillId="18" borderId="44" xfId="0" applyFont="1" applyFill="1" applyBorder="1" applyAlignment="1">
      <alignment vertical="center"/>
    </xf>
    <xf numFmtId="0" fontId="74" fillId="18" borderId="30" xfId="0" applyFont="1" applyFill="1" applyBorder="1" applyAlignment="1">
      <alignment vertical="center"/>
    </xf>
    <xf numFmtId="0" fontId="74" fillId="18" borderId="42" xfId="0" applyFont="1" applyFill="1" applyBorder="1" applyAlignment="1">
      <alignment vertical="center"/>
    </xf>
    <xf numFmtId="0" fontId="78" fillId="18" borderId="49" xfId="0" applyFont="1" applyFill="1" applyBorder="1" applyAlignment="1">
      <alignment vertical="center"/>
    </xf>
    <xf numFmtId="0" fontId="78" fillId="18" borderId="44" xfId="0" applyFont="1" applyFill="1" applyBorder="1" applyAlignment="1">
      <alignment vertical="center"/>
    </xf>
    <xf numFmtId="41" fontId="78" fillId="18" borderId="44" xfId="0" applyNumberFormat="1" applyFont="1" applyFill="1" applyBorder="1" applyAlignment="1">
      <alignment horizontal="right" vertical="center"/>
    </xf>
    <xf numFmtId="0" fontId="78" fillId="18" borderId="60" xfId="0" applyFont="1" applyFill="1" applyBorder="1" applyAlignment="1">
      <alignment vertical="center"/>
    </xf>
    <xf numFmtId="0" fontId="74" fillId="18" borderId="35" xfId="0" applyFont="1" applyFill="1" applyBorder="1" applyAlignment="1">
      <alignment vertical="center"/>
    </xf>
    <xf numFmtId="0" fontId="75" fillId="0" borderId="55" xfId="0" applyFont="1" applyBorder="1" applyAlignment="1">
      <alignment vertical="center" wrapText="1"/>
    </xf>
    <xf numFmtId="0" fontId="75" fillId="0" borderId="64" xfId="0" applyFont="1" applyBorder="1" applyAlignment="1">
      <alignment vertical="center"/>
    </xf>
    <xf numFmtId="0" fontId="87" fillId="18" borderId="30" xfId="0" applyFont="1" applyFill="1" applyBorder="1" applyAlignment="1">
      <alignment vertical="center" wrapText="1"/>
    </xf>
    <xf numFmtId="0" fontId="74" fillId="18" borderId="32" xfId="0" applyFont="1" applyFill="1" applyBorder="1" applyAlignment="1">
      <alignment vertical="center"/>
    </xf>
    <xf numFmtId="0" fontId="74" fillId="20" borderId="32" xfId="0" applyFont="1" applyFill="1" applyBorder="1" applyAlignment="1">
      <alignment vertical="center"/>
    </xf>
    <xf numFmtId="0" fontId="75" fillId="18" borderId="30" xfId="0" applyFont="1" applyFill="1" applyBorder="1" applyAlignment="1">
      <alignment vertical="center" wrapText="1"/>
    </xf>
    <xf numFmtId="0" fontId="90" fillId="18" borderId="44" xfId="0" applyFont="1" applyFill="1" applyBorder="1" applyAlignment="1">
      <alignment horizontal="right" vertical="center"/>
    </xf>
    <xf numFmtId="0" fontId="77" fillId="18" borderId="44" xfId="0" applyFont="1" applyFill="1" applyBorder="1" applyAlignment="1">
      <alignment vertical="center"/>
    </xf>
    <xf numFmtId="0" fontId="77" fillId="18" borderId="60" xfId="0" applyFont="1" applyFill="1" applyBorder="1" applyAlignment="1">
      <alignment vertical="center"/>
    </xf>
    <xf numFmtId="0" fontId="86" fillId="18" borderId="0" xfId="0" applyFont="1" applyFill="1" applyAlignment="1">
      <alignment vertical="center"/>
    </xf>
    <xf numFmtId="0" fontId="90" fillId="18" borderId="0" xfId="0" applyFont="1" applyFill="1" applyAlignment="1">
      <alignment horizontal="right" vertical="center"/>
    </xf>
    <xf numFmtId="0" fontId="77" fillId="18" borderId="35" xfId="0" applyFont="1" applyFill="1" applyBorder="1" applyAlignment="1">
      <alignment vertical="center"/>
    </xf>
    <xf numFmtId="41" fontId="78" fillId="18" borderId="25" xfId="0" applyNumberFormat="1" applyFont="1" applyFill="1" applyBorder="1" applyAlignment="1">
      <alignment horizontal="right" vertical="center"/>
    </xf>
    <xf numFmtId="0" fontId="91" fillId="19" borderId="32" xfId="0" applyFont="1" applyFill="1" applyBorder="1" applyAlignment="1">
      <alignment vertical="center"/>
    </xf>
    <xf numFmtId="43" fontId="74" fillId="18" borderId="0" xfId="0" applyNumberFormat="1" applyFont="1" applyFill="1"/>
    <xf numFmtId="0" fontId="21" fillId="0" borderId="0" xfId="0" applyFont="1" applyAlignment="1">
      <alignment wrapText="1"/>
    </xf>
    <xf numFmtId="164" fontId="68" fillId="0" borderId="17" xfId="2" applyFont="1" applyBorder="1" applyAlignment="1">
      <alignment horizontal="center" vertical="center" wrapText="1"/>
    </xf>
    <xf numFmtId="166" fontId="68" fillId="0" borderId="17" xfId="3" applyNumberFormat="1" applyFont="1" applyFill="1" applyBorder="1" applyAlignment="1">
      <alignment horizontal="center" vertical="center" wrapText="1"/>
    </xf>
    <xf numFmtId="165" fontId="68" fillId="0" borderId="17" xfId="3" applyFont="1" applyFill="1" applyBorder="1" applyAlignment="1">
      <alignment horizontal="center" vertical="center" wrapText="1"/>
    </xf>
    <xf numFmtId="166" fontId="68" fillId="0" borderId="12" xfId="3" applyNumberFormat="1" applyFont="1" applyFill="1" applyBorder="1" applyAlignment="1">
      <alignment horizontal="center" vertical="center" wrapText="1"/>
    </xf>
    <xf numFmtId="166" fontId="68" fillId="0" borderId="23" xfId="3" applyNumberFormat="1" applyFont="1" applyFill="1" applyBorder="1" applyAlignment="1">
      <alignment horizontal="center" vertical="center" wrapText="1"/>
    </xf>
    <xf numFmtId="166" fontId="68" fillId="0" borderId="23" xfId="3" quotePrefix="1" applyNumberFormat="1" applyFont="1" applyFill="1" applyBorder="1" applyAlignment="1">
      <alignment horizontal="center" vertical="center" wrapText="1"/>
    </xf>
    <xf numFmtId="165" fontId="68" fillId="0" borderId="23" xfId="3" applyFont="1" applyFill="1" applyBorder="1" applyAlignment="1">
      <alignment horizontal="center" vertical="center" wrapText="1"/>
    </xf>
    <xf numFmtId="168" fontId="68" fillId="0" borderId="23" xfId="3" applyNumberFormat="1" applyFont="1" applyFill="1" applyBorder="1" applyAlignment="1">
      <alignment horizontal="center" vertical="center" wrapText="1"/>
    </xf>
    <xf numFmtId="166" fontId="59" fillId="0" borderId="12" xfId="3" applyNumberFormat="1" applyFont="1" applyFill="1" applyBorder="1" applyAlignment="1">
      <alignment horizontal="center" vertical="center" wrapText="1"/>
    </xf>
    <xf numFmtId="165" fontId="59" fillId="0" borderId="12" xfId="3" applyFont="1" applyFill="1" applyBorder="1" applyAlignment="1">
      <alignment horizontal="center" vertical="center" wrapText="1"/>
    </xf>
    <xf numFmtId="164" fontId="68" fillId="0" borderId="17" xfId="2" quotePrefix="1" applyFont="1" applyBorder="1" applyAlignment="1">
      <alignment horizontal="center" vertical="center" wrapText="1"/>
    </xf>
    <xf numFmtId="164" fontId="59" fillId="0" borderId="12" xfId="2" applyFont="1" applyBorder="1" applyAlignment="1">
      <alignment horizontal="center" vertical="center" wrapText="1"/>
    </xf>
    <xf numFmtId="1" fontId="94" fillId="0" borderId="12" xfId="2" applyNumberFormat="1" applyFont="1" applyBorder="1" applyAlignment="1">
      <alignment horizontal="center" vertical="top" wrapText="1"/>
    </xf>
    <xf numFmtId="14" fontId="94" fillId="0" borderId="12" xfId="2" applyNumberFormat="1" applyFont="1" applyBorder="1" applyAlignment="1">
      <alignment horizontal="center" vertical="top" wrapText="1"/>
    </xf>
    <xf numFmtId="14" fontId="95" fillId="0" borderId="12" xfId="2" applyNumberFormat="1" applyFont="1" applyBorder="1" applyAlignment="1">
      <alignment horizontal="center" vertical="top" wrapText="1"/>
    </xf>
    <xf numFmtId="0" fontId="94" fillId="0" borderId="12" xfId="2" applyNumberFormat="1" applyFont="1" applyBorder="1" applyAlignment="1">
      <alignment horizontal="center" vertical="top" wrapText="1"/>
    </xf>
    <xf numFmtId="164" fontId="94" fillId="0" borderId="12" xfId="2" applyFont="1" applyBorder="1" applyAlignment="1">
      <alignment horizontal="center" vertical="top" wrapText="1"/>
    </xf>
    <xf numFmtId="166" fontId="94" fillId="0" borderId="12" xfId="3" applyNumberFormat="1" applyFont="1" applyFill="1" applyBorder="1" applyAlignment="1">
      <alignment horizontal="center" vertical="top" wrapText="1"/>
    </xf>
    <xf numFmtId="167" fontId="94" fillId="0" borderId="12" xfId="3" applyNumberFormat="1" applyFont="1" applyFill="1" applyBorder="1" applyAlignment="1">
      <alignment horizontal="center" vertical="top" wrapText="1"/>
    </xf>
    <xf numFmtId="165" fontId="94" fillId="0" borderId="12" xfId="3" applyFont="1" applyFill="1" applyBorder="1" applyAlignment="1">
      <alignment horizontal="center" vertical="top" wrapText="1"/>
    </xf>
    <xf numFmtId="165" fontId="94" fillId="0" borderId="12" xfId="3" quotePrefix="1" applyFont="1" applyFill="1" applyBorder="1" applyAlignment="1">
      <alignment horizontal="center" vertical="top" wrapText="1"/>
    </xf>
    <xf numFmtId="166" fontId="94" fillId="0" borderId="12" xfId="3" quotePrefix="1" applyNumberFormat="1" applyFont="1" applyFill="1" applyBorder="1" applyAlignment="1">
      <alignment horizontal="center" vertical="top" wrapText="1"/>
    </xf>
    <xf numFmtId="166" fontId="94" fillId="0" borderId="12" xfId="3" applyNumberFormat="1" applyFont="1" applyFill="1" applyBorder="1" applyAlignment="1">
      <alignment horizontal="left" vertical="top" wrapText="1"/>
    </xf>
    <xf numFmtId="166" fontId="94" fillId="0" borderId="12" xfId="3" quotePrefix="1" applyNumberFormat="1" applyFont="1" applyFill="1" applyBorder="1" applyAlignment="1">
      <alignment horizontal="left" vertical="top" wrapText="1"/>
    </xf>
    <xf numFmtId="168" fontId="94" fillId="0" borderId="12" xfId="3" applyNumberFormat="1" applyFont="1" applyFill="1" applyBorder="1" applyAlignment="1">
      <alignment horizontal="center" vertical="top" wrapText="1"/>
    </xf>
    <xf numFmtId="166" fontId="95" fillId="0" borderId="12" xfId="3" applyNumberFormat="1" applyFont="1" applyFill="1" applyBorder="1" applyAlignment="1">
      <alignment horizontal="center" vertical="top" wrapText="1"/>
    </xf>
    <xf numFmtId="164" fontId="94" fillId="0" borderId="12" xfId="2" quotePrefix="1" applyFont="1" applyBorder="1" applyAlignment="1">
      <alignment horizontal="center" vertical="top" wrapText="1"/>
    </xf>
    <xf numFmtId="164" fontId="94" fillId="0" borderId="18" xfId="2" applyFont="1" applyBorder="1" applyAlignment="1">
      <alignment horizontal="center" vertical="top" wrapText="1"/>
    </xf>
    <xf numFmtId="0" fontId="94" fillId="0" borderId="18" xfId="2" applyNumberFormat="1" applyFont="1" applyBorder="1" applyAlignment="1">
      <alignment horizontal="center" vertical="top" wrapText="1"/>
    </xf>
    <xf numFmtId="165" fontId="95" fillId="0" borderId="0" xfId="3" applyFont="1" applyAlignment="1">
      <alignment horizontal="center" vertical="top"/>
    </xf>
    <xf numFmtId="165" fontId="95" fillId="0" borderId="0" xfId="3" applyFont="1" applyAlignment="1">
      <alignment horizontal="center" vertical="top" wrapText="1"/>
    </xf>
    <xf numFmtId="165" fontId="94" fillId="0" borderId="0" xfId="3" applyFont="1" applyAlignment="1">
      <alignment horizontal="center" vertical="top" wrapText="1"/>
    </xf>
    <xf numFmtId="14" fontId="95" fillId="0" borderId="0" xfId="2" applyNumberFormat="1" applyFont="1" applyAlignment="1">
      <alignment horizontal="center" vertical="top" wrapText="1"/>
    </xf>
    <xf numFmtId="164" fontId="95" fillId="0" borderId="0" xfId="2" applyFont="1" applyAlignment="1">
      <alignment horizontal="center" vertical="top" wrapText="1"/>
    </xf>
    <xf numFmtId="164" fontId="95" fillId="12" borderId="0" xfId="2" applyFont="1" applyFill="1" applyAlignment="1">
      <alignment horizontal="center" vertical="top" wrapText="1"/>
    </xf>
    <xf numFmtId="164" fontId="96" fillId="12" borderId="0" xfId="2" applyFont="1" applyFill="1" applyAlignment="1">
      <alignment horizontal="center" vertical="top" wrapText="1"/>
    </xf>
    <xf numFmtId="164" fontId="95" fillId="13" borderId="0" xfId="2" applyFont="1" applyFill="1" applyAlignment="1">
      <alignment horizontal="center" vertical="top" wrapText="1"/>
    </xf>
    <xf numFmtId="164" fontId="96" fillId="13" borderId="0" xfId="2" applyFont="1" applyFill="1" applyAlignment="1">
      <alignment horizontal="center" vertical="top" wrapText="1"/>
    </xf>
    <xf numFmtId="165" fontId="94" fillId="13" borderId="0" xfId="3" applyFont="1" applyFill="1" applyAlignment="1">
      <alignment horizontal="center" vertical="top" wrapText="1"/>
    </xf>
    <xf numFmtId="164" fontId="96" fillId="14" borderId="0" xfId="2" applyFont="1" applyFill="1" applyAlignment="1">
      <alignment horizontal="center" vertical="top" wrapText="1"/>
    </xf>
    <xf numFmtId="164" fontId="96" fillId="0" borderId="0" xfId="2" applyFont="1" applyAlignment="1">
      <alignment horizontal="center" vertical="top" wrapText="1"/>
    </xf>
    <xf numFmtId="164" fontId="97" fillId="0" borderId="0" xfId="2" applyFont="1" applyAlignment="1">
      <alignment vertical="top"/>
    </xf>
    <xf numFmtId="0" fontId="21" fillId="0" borderId="15" xfId="0" applyFont="1" applyBorder="1" applyAlignment="1">
      <alignment wrapText="1" readingOrder="1"/>
    </xf>
    <xf numFmtId="1" fontId="38" fillId="0" borderId="18" xfId="2" applyNumberFormat="1" applyFont="1" applyBorder="1" applyAlignment="1">
      <alignment horizontal="center" vertical="center" wrapText="1"/>
    </xf>
    <xf numFmtId="0" fontId="98" fillId="0" borderId="0" xfId="0" applyFont="1" applyAlignment="1">
      <alignment wrapText="1"/>
    </xf>
    <xf numFmtId="0" fontId="12" fillId="0" borderId="0" xfId="0" applyFont="1" applyAlignment="1">
      <alignment wrapText="1"/>
    </xf>
    <xf numFmtId="0" fontId="99" fillId="0" borderId="0" xfId="0" applyFont="1" applyAlignment="1">
      <alignment wrapText="1"/>
    </xf>
    <xf numFmtId="0" fontId="0" fillId="0" borderId="0" xfId="0" quotePrefix="1" applyAlignment="1">
      <alignment wrapText="1"/>
    </xf>
    <xf numFmtId="0" fontId="98" fillId="0" borderId="15" xfId="0" applyFont="1" applyBorder="1" applyAlignment="1">
      <alignment horizontal="left" vertical="top" wrapText="1" readingOrder="1"/>
    </xf>
    <xf numFmtId="0" fontId="102" fillId="0" borderId="0" xfId="0" applyFont="1" applyAlignment="1">
      <alignment horizontal="left" vertical="top"/>
    </xf>
    <xf numFmtId="164" fontId="32" fillId="0" borderId="0" xfId="2" applyAlignment="1">
      <alignment vertical="top" wrapText="1"/>
    </xf>
    <xf numFmtId="164" fontId="100" fillId="0" borderId="0" xfId="2" applyFont="1" applyAlignment="1">
      <alignment vertical="top" wrapText="1"/>
    </xf>
    <xf numFmtId="0" fontId="24" fillId="0" borderId="13" xfId="0" applyFont="1" applyBorder="1" applyAlignment="1">
      <alignment readingOrder="1"/>
    </xf>
    <xf numFmtId="0" fontId="24" fillId="16" borderId="15" xfId="0" applyFont="1" applyFill="1" applyBorder="1" applyAlignment="1">
      <alignment wrapText="1" readingOrder="1"/>
    </xf>
    <xf numFmtId="0" fontId="103" fillId="0" borderId="0" xfId="0" applyFont="1" applyAlignment="1">
      <alignment wrapText="1"/>
    </xf>
    <xf numFmtId="0" fontId="4" fillId="0" borderId="0" xfId="0" applyFont="1" applyAlignment="1">
      <alignment horizontal="left" vertical="top" wrapText="1"/>
    </xf>
    <xf numFmtId="0" fontId="24" fillId="0" borderId="0" xfId="0" applyFont="1" applyAlignment="1">
      <alignment wrapText="1"/>
    </xf>
    <xf numFmtId="0" fontId="4" fillId="0" borderId="0" xfId="0" applyFont="1" applyAlignment="1">
      <alignment wrapText="1"/>
    </xf>
    <xf numFmtId="0" fontId="34" fillId="0" borderId="68" xfId="0" applyFont="1" applyBorder="1" applyAlignment="1">
      <alignment readingOrder="1"/>
    </xf>
    <xf numFmtId="0" fontId="24" fillId="0" borderId="68" xfId="0" applyFont="1" applyBorder="1" applyAlignment="1">
      <alignment readingOrder="1"/>
    </xf>
    <xf numFmtId="0" fontId="104" fillId="10" borderId="2" xfId="0" applyFont="1" applyFill="1" applyBorder="1"/>
    <xf numFmtId="0" fontId="16" fillId="7" borderId="6" xfId="0" applyFont="1" applyFill="1" applyBorder="1"/>
    <xf numFmtId="0" fontId="24" fillId="0" borderId="15" xfId="0" applyFont="1" applyBorder="1" applyAlignment="1">
      <alignment wrapText="1" readingOrder="1"/>
    </xf>
    <xf numFmtId="0" fontId="0" fillId="0" borderId="2" xfId="0" applyBorder="1" applyAlignment="1">
      <alignment horizontal="left" vertical="center"/>
    </xf>
    <xf numFmtId="0" fontId="23" fillId="22" borderId="26" xfId="0" applyFont="1" applyFill="1" applyBorder="1"/>
    <xf numFmtId="0" fontId="23" fillId="22" borderId="28" xfId="0" applyFont="1" applyFill="1" applyBorder="1"/>
    <xf numFmtId="0" fontId="23" fillId="22" borderId="2" xfId="0" applyFont="1" applyFill="1" applyBorder="1"/>
    <xf numFmtId="3" fontId="23" fillId="22" borderId="2" xfId="0" applyNumberFormat="1" applyFont="1" applyFill="1" applyBorder="1"/>
    <xf numFmtId="9" fontId="23" fillId="22" borderId="2" xfId="0" applyNumberFormat="1" applyFont="1" applyFill="1" applyBorder="1"/>
    <xf numFmtId="3" fontId="23" fillId="22" borderId="28" xfId="0" applyNumberFormat="1" applyFont="1" applyFill="1" applyBorder="1"/>
    <xf numFmtId="0" fontId="23" fillId="22" borderId="3" xfId="0" applyFont="1" applyFill="1" applyBorder="1"/>
    <xf numFmtId="3" fontId="23" fillId="22" borderId="3" xfId="0" applyNumberFormat="1" applyFont="1" applyFill="1" applyBorder="1"/>
    <xf numFmtId="9" fontId="23" fillId="22" borderId="3" xfId="0" applyNumberFormat="1" applyFont="1" applyFill="1" applyBorder="1"/>
    <xf numFmtId="1" fontId="42" fillId="21" borderId="18" xfId="2" applyNumberFormat="1" applyFont="1" applyFill="1" applyBorder="1" applyAlignment="1">
      <alignment horizontal="center" vertical="center" wrapText="1"/>
    </xf>
    <xf numFmtId="172" fontId="42" fillId="21" borderId="12" xfId="3" applyNumberFormat="1" applyFont="1" applyFill="1" applyBorder="1" applyAlignment="1">
      <alignment horizontal="center" vertical="center"/>
    </xf>
    <xf numFmtId="0" fontId="34" fillId="0" borderId="2" xfId="0" applyFont="1" applyBorder="1" applyAlignment="1">
      <alignment horizontal="left" vertical="center" readingOrder="1"/>
    </xf>
    <xf numFmtId="0" fontId="0" fillId="0" borderId="70" xfId="0" applyBorder="1" applyAlignment="1">
      <alignment horizontal="left" vertical="center"/>
    </xf>
    <xf numFmtId="0" fontId="34" fillId="0" borderId="70" xfId="0" applyFont="1" applyBorder="1" applyAlignment="1">
      <alignment horizontal="left" vertical="center" readingOrder="1"/>
    </xf>
    <xf numFmtId="0" fontId="0" fillId="0" borderId="71" xfId="0" applyBorder="1" applyAlignment="1">
      <alignment horizontal="left" vertical="center"/>
    </xf>
    <xf numFmtId="0" fontId="0" fillId="0" borderId="73" xfId="0" applyBorder="1" applyAlignment="1">
      <alignment horizontal="left" vertical="center"/>
    </xf>
    <xf numFmtId="0" fontId="0" fillId="0" borderId="75" xfId="0" applyBorder="1" applyAlignment="1">
      <alignment horizontal="left" vertical="center"/>
    </xf>
    <xf numFmtId="0" fontId="0" fillId="0" borderId="76" xfId="0" applyBorder="1" applyAlignment="1">
      <alignment horizontal="left" vertical="center"/>
    </xf>
    <xf numFmtId="0" fontId="0" fillId="0" borderId="3" xfId="0" applyBorder="1" applyAlignment="1">
      <alignment horizontal="left" vertical="center"/>
    </xf>
    <xf numFmtId="0" fontId="4" fillId="0" borderId="3" xfId="0" applyFont="1" applyBorder="1" applyAlignment="1">
      <alignment horizontal="left" vertical="center"/>
    </xf>
    <xf numFmtId="0" fontId="0" fillId="0" borderId="78" xfId="0" applyBorder="1" applyAlignment="1">
      <alignment horizontal="left" vertical="center"/>
    </xf>
    <xf numFmtId="14" fontId="33" fillId="23" borderId="0" xfId="2" applyNumberFormat="1" applyFont="1" applyFill="1" applyAlignment="1">
      <alignment vertical="top" wrapText="1"/>
    </xf>
    <xf numFmtId="0" fontId="26" fillId="0" borderId="0" xfId="0" applyFont="1" applyAlignment="1">
      <alignment wrapText="1"/>
    </xf>
    <xf numFmtId="0" fontId="105" fillId="0" borderId="15" xfId="0" applyFont="1" applyBorder="1" applyAlignment="1">
      <alignment wrapText="1" readingOrder="1"/>
    </xf>
    <xf numFmtId="0" fontId="0" fillId="0" borderId="0" xfId="0" quotePrefix="1" applyAlignment="1">
      <alignment horizontal="left" vertical="top" wrapText="1"/>
    </xf>
    <xf numFmtId="0" fontId="105" fillId="0" borderId="14" xfId="0" applyFont="1" applyBorder="1" applyAlignment="1">
      <alignment readingOrder="1"/>
    </xf>
    <xf numFmtId="0" fontId="105" fillId="0" borderId="68" xfId="0" applyFont="1" applyBorder="1" applyAlignment="1">
      <alignment readingOrder="1"/>
    </xf>
    <xf numFmtId="0" fontId="105" fillId="0" borderId="13" xfId="0" applyFont="1" applyBorder="1" applyAlignment="1">
      <alignment readingOrder="1"/>
    </xf>
    <xf numFmtId="0" fontId="105" fillId="21" borderId="15" xfId="0" applyFont="1" applyFill="1" applyBorder="1" applyAlignment="1">
      <alignment wrapText="1" readingOrder="1"/>
    </xf>
    <xf numFmtId="0" fontId="106" fillId="0" borderId="0" xfId="0" applyFont="1" applyAlignment="1">
      <alignment wrapText="1"/>
    </xf>
    <xf numFmtId="0" fontId="107" fillId="0" borderId="0" xfId="0" applyFont="1"/>
    <xf numFmtId="0" fontId="107" fillId="0" borderId="0" xfId="0" applyFont="1" applyAlignment="1">
      <alignment horizontal="left" vertical="top" wrapText="1"/>
    </xf>
    <xf numFmtId="166" fontId="95" fillId="0" borderId="12" xfId="3" quotePrefix="1" applyNumberFormat="1" applyFont="1" applyBorder="1" applyAlignment="1">
      <alignment horizontal="left" vertical="top" wrapText="1"/>
    </xf>
    <xf numFmtId="0" fontId="107" fillId="0" borderId="0" xfId="0" applyFont="1" applyAlignment="1">
      <alignment wrapText="1"/>
    </xf>
    <xf numFmtId="0" fontId="108" fillId="0" borderId="0" xfId="0" applyFont="1" applyAlignment="1">
      <alignment wrapText="1"/>
    </xf>
    <xf numFmtId="0" fontId="109" fillId="0" borderId="14" xfId="0" applyFont="1" applyBorder="1" applyAlignment="1">
      <alignment readingOrder="1"/>
    </xf>
    <xf numFmtId="0" fontId="109" fillId="0" borderId="68" xfId="0" applyFont="1" applyBorder="1" applyAlignment="1">
      <alignment readingOrder="1"/>
    </xf>
    <xf numFmtId="0" fontId="109" fillId="0" borderId="13" xfId="0" applyFont="1" applyBorder="1" applyAlignment="1">
      <alignment readingOrder="1"/>
    </xf>
    <xf numFmtId="0" fontId="109" fillId="0" borderId="15" xfId="0" applyFont="1" applyBorder="1" applyAlignment="1">
      <alignment wrapText="1" readingOrder="1"/>
    </xf>
    <xf numFmtId="0" fontId="110" fillId="0" borderId="0" xfId="0" applyFont="1" applyAlignment="1">
      <alignment wrapText="1"/>
    </xf>
    <xf numFmtId="0" fontId="111" fillId="0" borderId="0" xfId="0" applyFont="1"/>
    <xf numFmtId="0" fontId="111" fillId="0" borderId="0" xfId="0" applyFont="1" applyAlignment="1">
      <alignment horizontal="left" vertical="top" wrapText="1"/>
    </xf>
    <xf numFmtId="0" fontId="28" fillId="0" borderId="0" xfId="0" applyFont="1" applyAlignment="1">
      <alignment wrapText="1"/>
    </xf>
    <xf numFmtId="0" fontId="112" fillId="0" borderId="0" xfId="0" applyFont="1" applyAlignment="1">
      <alignment wrapText="1"/>
    </xf>
    <xf numFmtId="0" fontId="16" fillId="7" borderId="0" xfId="0" applyFont="1" applyFill="1"/>
    <xf numFmtId="0" fontId="16" fillId="7" borderId="6" xfId="0" applyFont="1" applyFill="1" applyBorder="1" applyAlignment="1">
      <alignment horizontal="left"/>
    </xf>
    <xf numFmtId="0" fontId="0" fillId="0" borderId="2" xfId="0" applyBorder="1" applyAlignment="1">
      <alignment horizontal="center" vertical="center"/>
    </xf>
    <xf numFmtId="0" fontId="0" fillId="0" borderId="2" xfId="0" applyBorder="1" applyAlignment="1">
      <alignment horizontal="left" vertical="center"/>
    </xf>
    <xf numFmtId="0" fontId="69" fillId="0" borderId="2" xfId="0" applyFont="1" applyBorder="1" applyAlignment="1">
      <alignment horizontal="center"/>
    </xf>
    <xf numFmtId="0" fontId="16" fillId="7" borderId="6" xfId="0" applyFont="1" applyFill="1" applyBorder="1" applyAlignment="1">
      <alignment horizontal="center"/>
    </xf>
    <xf numFmtId="0" fontId="16" fillId="7" borderId="26" xfId="0" applyFont="1" applyFill="1" applyBorder="1" applyAlignment="1">
      <alignment horizontal="center"/>
    </xf>
    <xf numFmtId="0" fontId="4" fillId="0" borderId="27" xfId="0" applyFont="1" applyBorder="1" applyAlignment="1">
      <alignment horizontal="center"/>
    </xf>
    <xf numFmtId="0" fontId="4" fillId="0" borderId="26" xfId="0" applyFont="1" applyBorder="1" applyAlignment="1">
      <alignment horizontal="center"/>
    </xf>
    <xf numFmtId="0" fontId="4" fillId="0" borderId="28" xfId="0" applyFont="1" applyBorder="1" applyAlignment="1">
      <alignment horizontal="center"/>
    </xf>
    <xf numFmtId="0" fontId="4" fillId="0" borderId="2" xfId="0" applyFont="1" applyBorder="1" applyAlignment="1">
      <alignment horizontal="center"/>
    </xf>
    <xf numFmtId="0" fontId="0" fillId="0" borderId="69" xfId="0" applyBorder="1" applyAlignment="1">
      <alignment horizontal="center" vertical="center"/>
    </xf>
    <xf numFmtId="0" fontId="0" fillId="0" borderId="74" xfId="0" applyBorder="1" applyAlignment="1">
      <alignment horizontal="center" vertical="center"/>
    </xf>
    <xf numFmtId="0" fontId="2" fillId="2" borderId="25" xfId="0" applyFont="1" applyFill="1" applyBorder="1" applyAlignment="1">
      <alignment horizontal="center" vertical="top" wrapText="1"/>
    </xf>
    <xf numFmtId="0" fontId="0" fillId="0" borderId="70" xfId="0" applyBorder="1" applyAlignment="1">
      <alignment horizontal="left" vertical="center"/>
    </xf>
    <xf numFmtId="0" fontId="0" fillId="0" borderId="72" xfId="0" applyBorder="1" applyAlignment="1">
      <alignment horizontal="center" vertical="center"/>
    </xf>
    <xf numFmtId="0" fontId="0" fillId="0" borderId="77" xfId="0" applyBorder="1" applyAlignment="1">
      <alignment horizontal="center" vertical="center"/>
    </xf>
    <xf numFmtId="0" fontId="59" fillId="0" borderId="17" xfId="2" applyNumberFormat="1" applyFont="1" applyBorder="1" applyAlignment="1">
      <alignment horizontal="center" vertical="center" wrapText="1"/>
    </xf>
    <xf numFmtId="0" fontId="59" fillId="0" borderId="24" xfId="2" applyNumberFormat="1" applyFont="1" applyBorder="1" applyAlignment="1">
      <alignment horizontal="center" vertical="center" wrapText="1"/>
    </xf>
    <xf numFmtId="166" fontId="68" fillId="0" borderId="17" xfId="3" applyNumberFormat="1" applyFont="1" applyFill="1" applyBorder="1" applyAlignment="1">
      <alignment horizontal="center" vertical="center" wrapText="1"/>
    </xf>
    <xf numFmtId="166" fontId="68" fillId="0" borderId="24" xfId="3" applyNumberFormat="1" applyFont="1" applyFill="1" applyBorder="1" applyAlignment="1">
      <alignment horizontal="center" vertical="center" wrapText="1"/>
    </xf>
    <xf numFmtId="164" fontId="59" fillId="0" borderId="17" xfId="2" applyFont="1" applyBorder="1" applyAlignment="1">
      <alignment horizontal="center" vertical="center" wrapText="1"/>
    </xf>
    <xf numFmtId="164" fontId="59" fillId="0" borderId="24" xfId="2" applyFont="1" applyBorder="1" applyAlignment="1">
      <alignment horizontal="center" vertical="center" wrapText="1"/>
    </xf>
    <xf numFmtId="1" fontId="59" fillId="0" borderId="17" xfId="2" applyNumberFormat="1" applyFont="1" applyBorder="1" applyAlignment="1">
      <alignment horizontal="center" vertical="center" wrapText="1"/>
    </xf>
    <xf numFmtId="1" fontId="59" fillId="0" borderId="24" xfId="2" applyNumberFormat="1" applyFont="1" applyBorder="1" applyAlignment="1">
      <alignment horizontal="center" vertical="center" wrapText="1"/>
    </xf>
    <xf numFmtId="164" fontId="68" fillId="0" borderId="12" xfId="2" applyFont="1" applyBorder="1" applyAlignment="1">
      <alignment horizontal="center" vertical="center"/>
    </xf>
    <xf numFmtId="166" fontId="68" fillId="0" borderId="12" xfId="3" applyNumberFormat="1" applyFont="1" applyFill="1" applyBorder="1" applyAlignment="1">
      <alignment horizontal="center" vertical="center" wrapText="1"/>
    </xf>
    <xf numFmtId="166" fontId="68" fillId="0" borderId="18" xfId="3" applyNumberFormat="1" applyFont="1" applyFill="1" applyBorder="1" applyAlignment="1">
      <alignment horizontal="center" vertical="center" wrapText="1"/>
    </xf>
    <xf numFmtId="166" fontId="68" fillId="0" borderId="19" xfId="3" applyNumberFormat="1" applyFont="1" applyFill="1" applyBorder="1" applyAlignment="1">
      <alignment horizontal="center" vertical="center" wrapText="1"/>
    </xf>
    <xf numFmtId="166" fontId="68" fillId="0" borderId="21" xfId="3" applyNumberFormat="1" applyFont="1" applyFill="1" applyBorder="1" applyAlignment="1">
      <alignment horizontal="center" vertical="center" wrapText="1"/>
    </xf>
    <xf numFmtId="166" fontId="68" fillId="0" borderId="22" xfId="3" applyNumberFormat="1" applyFont="1" applyFill="1" applyBorder="1" applyAlignment="1">
      <alignment horizontal="center" vertical="center" wrapText="1"/>
    </xf>
    <xf numFmtId="165" fontId="68" fillId="0" borderId="17" xfId="3" applyFont="1" applyFill="1" applyBorder="1" applyAlignment="1">
      <alignment horizontal="center" vertical="center" wrapText="1"/>
    </xf>
    <xf numFmtId="165" fontId="68" fillId="0" borderId="24" xfId="3" applyFont="1" applyFill="1" applyBorder="1" applyAlignment="1">
      <alignment horizontal="center" vertical="center" wrapText="1"/>
    </xf>
    <xf numFmtId="166" fontId="68" fillId="0" borderId="20" xfId="3" applyNumberFormat="1" applyFont="1" applyFill="1" applyBorder="1" applyAlignment="1">
      <alignment horizontal="center" vertical="center" wrapText="1"/>
    </xf>
    <xf numFmtId="14" fontId="68" fillId="0" borderId="17" xfId="2" applyNumberFormat="1" applyFont="1" applyBorder="1" applyAlignment="1">
      <alignment horizontal="center" vertical="center" wrapText="1"/>
    </xf>
    <xf numFmtId="14" fontId="68" fillId="0" borderId="24" xfId="2" applyNumberFormat="1" applyFont="1" applyBorder="1" applyAlignment="1">
      <alignment horizontal="center" vertical="center" wrapText="1"/>
    </xf>
    <xf numFmtId="165" fontId="68" fillId="0" borderId="12" xfId="3" applyFont="1" applyFill="1" applyBorder="1" applyAlignment="1">
      <alignment horizontal="center" vertical="center" wrapText="1"/>
    </xf>
    <xf numFmtId="165" fontId="68" fillId="0" borderId="19" xfId="3" applyFont="1" applyFill="1" applyBorder="1" applyAlignment="1">
      <alignment horizontal="center" vertical="center" wrapText="1"/>
    </xf>
    <xf numFmtId="0" fontId="68" fillId="0" borderId="17" xfId="2" applyNumberFormat="1" applyFont="1" applyBorder="1" applyAlignment="1">
      <alignment horizontal="center" vertical="center" wrapText="1"/>
    </xf>
    <xf numFmtId="0" fontId="68" fillId="0" borderId="24" xfId="2" applyNumberFormat="1" applyFont="1" applyBorder="1" applyAlignment="1">
      <alignment horizontal="center" vertical="center" wrapText="1"/>
    </xf>
    <xf numFmtId="1" fontId="68" fillId="0" borderId="17" xfId="2" applyNumberFormat="1" applyFont="1" applyBorder="1" applyAlignment="1">
      <alignment horizontal="center" vertical="center" wrapText="1"/>
    </xf>
    <xf numFmtId="1" fontId="68" fillId="0" borderId="24" xfId="2" applyNumberFormat="1" applyFont="1" applyBorder="1" applyAlignment="1">
      <alignment horizontal="center" vertical="center" wrapText="1"/>
    </xf>
    <xf numFmtId="164" fontId="68" fillId="0" borderId="17" xfId="2" applyFont="1" applyBorder="1" applyAlignment="1">
      <alignment horizontal="center" vertical="center" wrapText="1"/>
    </xf>
    <xf numFmtId="164" fontId="68" fillId="0" borderId="24" xfId="2" applyFont="1" applyBorder="1" applyAlignment="1">
      <alignment horizontal="center" vertical="center" wrapText="1"/>
    </xf>
    <xf numFmtId="0" fontId="85" fillId="18" borderId="29" xfId="0" applyFont="1" applyFill="1" applyBorder="1" applyAlignment="1">
      <alignment horizontal="center" vertical="top" wrapText="1"/>
    </xf>
    <xf numFmtId="0" fontId="70" fillId="18" borderId="21" xfId="0" applyFont="1" applyFill="1" applyBorder="1" applyAlignment="1">
      <alignment horizontal="center"/>
    </xf>
    <xf numFmtId="0" fontId="70" fillId="18" borderId="29" xfId="0" applyFont="1" applyFill="1" applyBorder="1" applyAlignment="1">
      <alignment horizontal="center"/>
    </xf>
    <xf numFmtId="0" fontId="70" fillId="18" borderId="22" xfId="0" applyFont="1" applyFill="1" applyBorder="1" applyAlignment="1">
      <alignment horizontal="center"/>
    </xf>
    <xf numFmtId="0" fontId="75" fillId="18" borderId="31" xfId="0" applyFont="1" applyFill="1" applyBorder="1" applyAlignment="1">
      <alignment horizontal="center"/>
    </xf>
    <xf numFmtId="0" fontId="75" fillId="18" borderId="25" xfId="0" applyFont="1" applyFill="1" applyBorder="1" applyAlignment="1">
      <alignment horizontal="center"/>
    </xf>
    <xf numFmtId="0" fontId="75" fillId="18" borderId="32" xfId="0" applyFont="1" applyFill="1" applyBorder="1" applyAlignment="1">
      <alignment horizontal="center"/>
    </xf>
    <xf numFmtId="0" fontId="79" fillId="18" borderId="0" xfId="0" applyFont="1" applyFill="1" applyAlignment="1">
      <alignment horizontal="left" vertical="center"/>
    </xf>
    <xf numFmtId="0" fontId="75" fillId="18" borderId="0" xfId="0" quotePrefix="1" applyFont="1" applyFill="1" applyAlignment="1">
      <alignment horizontal="left" vertical="center"/>
    </xf>
    <xf numFmtId="0" fontId="75" fillId="18" borderId="0" xfId="0" applyFont="1" applyFill="1" applyAlignment="1">
      <alignment horizontal="left" vertical="center"/>
    </xf>
    <xf numFmtId="0" fontId="75" fillId="18" borderId="35" xfId="0" applyFont="1" applyFill="1" applyBorder="1" applyAlignment="1">
      <alignment horizontal="left" vertical="center"/>
    </xf>
    <xf numFmtId="41" fontId="83" fillId="0" borderId="62" xfId="0" applyNumberFormat="1" applyFont="1" applyBorder="1" applyAlignment="1">
      <alignment horizontal="center" vertical="top" wrapText="1"/>
    </xf>
    <xf numFmtId="41" fontId="83" fillId="0" borderId="63" xfId="0" applyNumberFormat="1" applyFont="1" applyBorder="1" applyAlignment="1">
      <alignment horizontal="center" vertical="top" wrapText="1"/>
    </xf>
    <xf numFmtId="0" fontId="92" fillId="0" borderId="65" xfId="0" applyFont="1" applyBorder="1" applyAlignment="1">
      <alignment horizontal="center" vertical="center" wrapText="1"/>
    </xf>
    <xf numFmtId="0" fontId="92" fillId="0" borderId="66" xfId="0" applyFont="1" applyBorder="1" applyAlignment="1">
      <alignment horizontal="center" vertical="center" wrapText="1"/>
    </xf>
    <xf numFmtId="0" fontId="92" fillId="0" borderId="67" xfId="0" applyFont="1" applyBorder="1" applyAlignment="1">
      <alignment horizontal="center" vertical="center" wrapText="1"/>
    </xf>
    <xf numFmtId="0" fontId="88" fillId="18" borderId="0" xfId="0" applyFont="1" applyFill="1" applyAlignment="1">
      <alignment horizontal="center" vertical="top" wrapText="1"/>
    </xf>
    <xf numFmtId="0" fontId="89" fillId="18" borderId="0" xfId="0" applyFont="1" applyFill="1" applyAlignment="1">
      <alignment horizontal="center" vertical="top" wrapText="1"/>
    </xf>
    <xf numFmtId="0" fontId="35" fillId="0" borderId="17" xfId="0" applyFont="1" applyBorder="1" applyAlignment="1">
      <alignment horizontal="left" vertical="top"/>
    </xf>
    <xf numFmtId="0" fontId="35" fillId="0" borderId="23" xfId="0" applyFont="1" applyBorder="1" applyAlignment="1">
      <alignment horizontal="left" vertical="top"/>
    </xf>
    <xf numFmtId="0" fontId="35" fillId="0" borderId="24" xfId="0" applyFont="1" applyBorder="1" applyAlignment="1">
      <alignment horizontal="left" vertical="top"/>
    </xf>
    <xf numFmtId="0" fontId="35" fillId="0" borderId="12" xfId="0" applyFont="1" applyBorder="1" applyAlignment="1">
      <alignment horizontal="left" vertical="top"/>
    </xf>
    <xf numFmtId="0" fontId="23" fillId="22" borderId="26" xfId="0" applyFont="1" applyFill="1" applyBorder="1"/>
    <xf numFmtId="0" fontId="0" fillId="0" borderId="0" xfId="0" applyAlignment="1">
      <alignment horizontal="left" wrapText="1"/>
    </xf>
    <xf numFmtId="0" fontId="0" fillId="0" borderId="0" xfId="0" applyAlignment="1">
      <alignment horizontal="left"/>
    </xf>
    <xf numFmtId="0" fontId="2" fillId="2" borderId="0" xfId="0" applyFont="1" applyFill="1" applyAlignment="1">
      <alignment horizontal="left" vertical="top" wrapText="1"/>
    </xf>
    <xf numFmtId="0" fontId="3" fillId="0" borderId="0" xfId="0" applyFont="1" applyAlignment="1">
      <alignment horizontal="left" vertical="top" wrapText="1"/>
    </xf>
    <xf numFmtId="0" fontId="0" fillId="3" borderId="0" xfId="0" quotePrefix="1" applyFill="1" applyAlignment="1">
      <alignment horizontal="left" vertical="top" wrapText="1"/>
    </xf>
    <xf applyFill="1" numFmtId="0" fontId="34" fillId="26" borderId="14" xfId="0" applyFont="1" applyBorder="1" applyAlignment="1">
      <alignment readingOrder="1"/>
    </xf>
    <xf applyFill="1" numFmtId="0" fontId="34" fillId="26" borderId="68" xfId="0" applyFont="1" applyBorder="1" applyAlignment="1">
      <alignment readingOrder="1"/>
    </xf>
    <xf applyFill="1" numFmtId="0" fontId="34" fillId="26" borderId="13" xfId="0" applyFont="1" applyBorder="1" applyAlignment="1">
      <alignment readingOrder="1"/>
    </xf>
    <xf applyFill="1" numFmtId="0" fontId="34" fillId="26" borderId="15" xfId="0" applyFont="1" applyBorder="1" applyAlignment="1">
      <alignment wrapText="1" readingOrder="1"/>
    </xf>
    <xf applyFill="1" numFmtId="0" fontId="26" fillId="26" borderId="0" xfId="0" applyFont="1" applyAlignment="1">
      <alignment wrapText="1"/>
    </xf>
    <xf applyFill="1" numFmtId="0" fontId="0" fillId="26" borderId="0" xfId="0"/>
    <xf applyFill="1" numFmtId="0" fontId="28" fillId="26" borderId="0" xfId="0" applyFont="1" applyAlignment="1">
      <alignment wrapText="1"/>
    </xf>
    <xf applyFill="1" numFmtId="0" fontId="0" fillId="26" borderId="0" xfId="0" applyAlignment="1">
      <alignment horizontal="left" vertical="top" wrapText="1"/>
    </xf>
    <xf applyFill="1" numFmtId="0" fontId="34" fillId="27" borderId="14" xfId="0" applyFont="1" applyBorder="1" applyAlignment="1">
      <alignment readingOrder="1"/>
    </xf>
    <xf applyFill="1" numFmtId="0" fontId="34" fillId="27" borderId="68" xfId="0" applyFont="1" applyBorder="1" applyAlignment="1">
      <alignment readingOrder="1"/>
    </xf>
    <xf applyFill="1" numFmtId="0" fontId="34" fillId="27" borderId="13" xfId="0" applyFont="1" applyBorder="1" applyAlignment="1">
      <alignment readingOrder="1"/>
    </xf>
    <xf applyFill="1" numFmtId="0" fontId="34" fillId="27" borderId="15" xfId="0" applyFont="1" applyBorder="1" applyAlignment="1">
      <alignment wrapText="1" readingOrder="1"/>
    </xf>
    <xf applyFill="1" numFmtId="0" fontId="26" fillId="27" borderId="0" xfId="0" applyFont="1" applyAlignment="1">
      <alignment wrapText="1"/>
    </xf>
    <xf applyFill="1" numFmtId="0" fontId="0" fillId="27" borderId="0" xfId="0" applyAlignment="1">
      <alignment horizontal="left" vertical="top" wrapText="1"/>
    </xf>
    <xf applyFill="1" numFmtId="0" fontId="98" fillId="27" borderId="0" xfId="0" applyFont="1" applyAlignment="1">
      <alignment wrapText="1"/>
    </xf>
    <xf applyFill="1" numFmtId="0" fontId="34" fillId="24" borderId="14" xfId="0" applyFont="1" applyBorder="1" applyAlignment="1">
      <alignment readingOrder="1"/>
    </xf>
    <xf applyFill="1" numFmtId="0" fontId="34" fillId="24" borderId="68" xfId="0" applyFont="1" applyBorder="1" applyAlignment="1">
      <alignment readingOrder="1"/>
    </xf>
    <xf applyFill="1" numFmtId="0" fontId="34" fillId="24" borderId="13" xfId="0" applyFont="1" applyBorder="1" applyAlignment="1">
      <alignment readingOrder="1"/>
    </xf>
    <xf applyFill="1" numFmtId="0" fontId="34" fillId="24" borderId="15" xfId="0" applyFont="1" applyBorder="1" applyAlignment="1">
      <alignment wrapText="1" readingOrder="1"/>
    </xf>
    <xf applyFill="1" numFmtId="0" fontId="98" fillId="24" borderId="0" xfId="0" applyFont="1" applyAlignment="1">
      <alignment wrapText="1"/>
    </xf>
    <xf applyFill="1" numFmtId="0" fontId="21" fillId="27" borderId="0" xfId="0" applyFont="1" applyAlignment="1">
      <alignment wrapText="1"/>
    </xf>
    <xf applyFill="1" numFmtId="0" fontId="0" fillId="27" borderId="0" xfId="0"/>
    <xf applyFill="1" numFmtId="0" fontId="98" fillId="27" borderId="15" xfId="0" applyFont="1" applyBorder="1" applyAlignment="1">
      <alignment horizontal="left" vertical="top" wrapText="1" readingOrder="1"/>
    </xf>
    <xf applyFill="1" numFmtId="0" fontId="102" fillId="27" borderId="0" xfId="0" applyFont="1" applyAlignment="1">
      <alignment horizontal="left" vertical="top"/>
    </xf>
    <xf applyFill="1" numFmtId="0" fontId="24" fillId="24" borderId="15" xfId="0" applyFont="1" applyBorder="1" applyAlignment="1">
      <alignment wrapText="1" readingOrder="1"/>
    </xf>
    <xf applyFill="1" numFmtId="0" fontId="21" fillId="24" borderId="0" xfId="0" applyFont="1" applyAlignment="1">
      <alignment wrapText="1"/>
    </xf>
    <xf applyFill="1" numFmtId="0" fontId="0" fillId="24" borderId="0" xfId="0"/>
    <xf applyFill="1" numFmtId="0" fontId="0" fillId="24" borderId="0" xfId="0" applyAlignment="1">
      <alignment horizontal="left" vertical="top" wrapText="1"/>
    </xf>
    <xf applyFill="1" numFmtId="0" fontId="34" fillId="28" borderId="14" xfId="0" applyFont="1" applyBorder="1" applyAlignment="1">
      <alignment readingOrder="1"/>
    </xf>
    <xf applyFill="1" numFmtId="0" fontId="34" fillId="28" borderId="68" xfId="0" applyFont="1" applyBorder="1" applyAlignment="1">
      <alignment readingOrder="1"/>
    </xf>
    <xf applyFill="1" numFmtId="0" fontId="34" fillId="28" borderId="13" xfId="0" applyFont="1" applyBorder="1" applyAlignment="1">
      <alignment readingOrder="1"/>
    </xf>
    <xf applyFill="1" numFmtId="0" fontId="24" fillId="28" borderId="15" xfId="0" applyFont="1" applyBorder="1" applyAlignment="1">
      <alignment wrapText="1" readingOrder="1"/>
    </xf>
    <xf applyFill="1" numFmtId="0" fontId="34" fillId="28" borderId="15" xfId="0" applyFont="1" applyBorder="1" applyAlignment="1">
      <alignment wrapText="1" readingOrder="1"/>
    </xf>
    <xf applyFill="1" numFmtId="0" fontId="21" fillId="28" borderId="0" xfId="0" applyFont="1" applyAlignment="1">
      <alignment wrapText="1"/>
    </xf>
    <xf applyFill="1" numFmtId="0" fontId="0" fillId="28" borderId="0" xfId="0"/>
    <xf applyFill="1" numFmtId="0" fontId="0" fillId="28" borderId="0" xfId="0" applyAlignment="1">
      <alignment horizontal="left" vertical="top" wrapText="1"/>
    </xf>
    <xf applyFill="1" numFmtId="0" fontId="21" fillId="26" borderId="0" xfId="0" applyFont="1" applyAlignment="1">
      <alignment wrapText="1"/>
    </xf>
    <xf applyFill="1" numFmtId="0" fontId="24" fillId="27" borderId="13" xfId="0" applyFont="1" applyBorder="1" applyAlignment="1">
      <alignment readingOrder="1"/>
    </xf>
    <xf applyFill="1" numFmtId="0" fontId="24" fillId="27" borderId="14" xfId="0" applyFont="1" applyBorder="1" applyAlignment="1">
      <alignment readingOrder="1"/>
    </xf>
    <xf numFmtId="0" fontId="24" fillId="27" borderId="15" xfId="0" applyFont="1" applyFill="1" applyBorder="1" applyAlignment="1">
      <alignment wrapText="1" readingOrder="1"/>
    </xf>
    <xf applyFill="1" numFmtId="0" fontId="103" fillId="27" borderId="0" xfId="0" applyFont="1" applyAlignment="1">
      <alignment wrapText="1"/>
    </xf>
    <xf applyFill="1" numFmtId="0" fontId="4" fillId="27" borderId="0" xfId="0" applyFont="1"/>
    <xf applyFill="1" numFmtId="0" fontId="4" fillId="27" borderId="0" xfId="0" applyFont="1" applyAlignment="1">
      <alignment horizontal="left" vertical="top" wrapText="1"/>
    </xf>
    <xf applyFill="1" numFmtId="0" fontId="21" fillId="28" borderId="15" xfId="0" applyFont="1" applyBorder="1" applyAlignment="1">
      <alignment wrapText="1" readingOrder="1"/>
    </xf>
    <xf applyFill="1" numFmtId="0" fontId="34" fillId="25" borderId="14" xfId="0" applyFont="1" applyBorder="1" applyAlignment="1">
      <alignment readingOrder="1"/>
    </xf>
    <xf applyFill="1" numFmtId="0" fontId="34" fillId="25" borderId="68" xfId="0" applyFont="1" applyBorder="1" applyAlignment="1">
      <alignment readingOrder="1"/>
    </xf>
    <xf applyFill="1" numFmtId="0" fontId="34" fillId="25" borderId="13" xfId="0" applyFont="1" applyBorder="1" applyAlignment="1">
      <alignment readingOrder="1"/>
    </xf>
    <xf applyFill="1" numFmtId="0" fontId="34" fillId="25" borderId="15" xfId="0" applyFont="1" applyBorder="1" applyAlignment="1">
      <alignment wrapText="1" readingOrder="1"/>
    </xf>
    <xf applyFill="1" numFmtId="0" fontId="24" fillId="25" borderId="0" xfId="0" applyFont="1" applyAlignment="1">
      <alignment wrapText="1"/>
    </xf>
    <xf applyFill="1" numFmtId="0" fontId="0" fillId="25" borderId="0" xfId="0"/>
    <xf applyFill="1" numFmtId="0" fontId="21" fillId="24" borderId="15" xfId="0" applyFont="1" applyBorder="1" applyAlignment="1">
      <alignment wrapText="1" readingOrder="1"/>
    </xf>
    <xf applyFill="1" numFmtId="0" fontId="21" fillId="25" borderId="0" xfId="0" applyFont="1" applyAlignment="1">
      <alignment wrapText="1"/>
    </xf>
    <xf applyFill="1" numFmtId="0" fontId="21" fillId="25" borderId="15" xfId="0" applyFont="1" applyBorder="1" applyAlignment="1">
      <alignment wrapText="1" readingOrder="1"/>
    </xf>
  </cellXfs>
  <cellStyles count="8">
    <cellStyle name="Comma 10 2 2 2 2" xfId="3" xr:uid="{6D9FE998-E1F0-45C7-9110-6EC6A89CEA0D}"/>
    <cellStyle name="Comma 2" xfId="5" xr:uid="{D2D7D651-6030-4994-AFB5-F3F13DD2A4BF}"/>
    <cellStyle name="Hyperlink" xfId="1" xr:uid="{00000000-000B-0000-0000-000008000000}"/>
    <cellStyle name="Normal" xfId="0" builtinId="0"/>
    <cellStyle name="Normal 2" xfId="7" xr:uid="{595534C5-6DBD-4F98-A18A-7D787A913B6E}"/>
    <cellStyle name="Normal 2 2 10 3" xfId="4" xr:uid="{72F1FB2B-1F28-4E9D-B2C4-D9471332DCE0}"/>
    <cellStyle name="Normal 3" xfId="2" xr:uid="{1E600D2A-F05C-4A38-A3FD-829E30743C97}"/>
    <cellStyle name="Normal 4 10" xfId="6" xr:uid="{5FD65E7A-3F2B-4679-9874-E44DE26A0F1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200025</xdr:colOff>
      <xdr:row>1</xdr:row>
      <xdr:rowOff>19050</xdr:rowOff>
    </xdr:from>
    <xdr:to>
      <xdr:col>13</xdr:col>
      <xdr:colOff>457200</xdr:colOff>
      <xdr:row>28</xdr:row>
      <xdr:rowOff>57150</xdr:rowOff>
    </xdr:to>
    <xdr:pic>
      <xdr:nvPicPr>
        <xdr:cNvPr id="6" name="Ảnh 1">
          <a:extLst>
            <a:ext uri="{FF2B5EF4-FFF2-40B4-BE49-F238E27FC236}">
              <a16:creationId xmlns:a16="http://schemas.microsoft.com/office/drawing/2014/main" id="{9C42D42E-1891-C6AD-9A98-1BADB3CFCE7D}"/>
            </a:ext>
          </a:extLst>
        </xdr:cNvPr>
        <xdr:cNvPicPr>
          <a:picLocks noChangeAspect="1"/>
        </xdr:cNvPicPr>
      </xdr:nvPicPr>
      <xdr:blipFill>
        <a:blip xmlns:r="http://schemas.openxmlformats.org/officeDocument/2006/relationships" r:embed="rId1"/>
        <a:stretch>
          <a:fillRect/>
        </a:stretch>
      </xdr:blipFill>
      <xdr:spPr>
        <a:xfrm>
          <a:off x="8153400" y="200025"/>
          <a:ext cx="7829550" cy="5038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38100</xdr:colOff>
      <xdr:row>0</xdr:row>
      <xdr:rowOff>38100</xdr:rowOff>
    </xdr:from>
    <xdr:to>
      <xdr:col>25</xdr:col>
      <xdr:colOff>381000</xdr:colOff>
      <xdr:row>40</xdr:row>
      <xdr:rowOff>0</xdr:rowOff>
    </xdr:to>
    <xdr:pic>
      <xdr:nvPicPr>
        <xdr:cNvPr id="4" name="Ảnh 3">
          <a:extLst>
            <a:ext uri="{FF2B5EF4-FFF2-40B4-BE49-F238E27FC236}">
              <a16:creationId xmlns:a16="http://schemas.microsoft.com/office/drawing/2014/main" id="{7ADC9980-D6EB-72CC-8DE9-E307B7D15BC3}"/>
            </a:ext>
            <a:ext uri="{147F2762-F138-4A5C-976F-8EAC2B608ADB}">
              <a16:predDERef xmlns:a16="http://schemas.microsoft.com/office/drawing/2014/main" pred="{A53F83C4-D214-B0F2-579F-77207CFBBE7E}"/>
            </a:ext>
          </a:extLst>
        </xdr:cNvPr>
        <xdr:cNvPicPr>
          <a:picLocks noChangeAspect="1"/>
        </xdr:cNvPicPr>
      </xdr:nvPicPr>
      <xdr:blipFill>
        <a:blip xmlns:r="http://schemas.openxmlformats.org/officeDocument/2006/relationships" r:embed="rId1"/>
        <a:stretch>
          <a:fillRect/>
        </a:stretch>
      </xdr:blipFill>
      <xdr:spPr>
        <a:xfrm>
          <a:off x="9182100" y="38100"/>
          <a:ext cx="6438900" cy="7696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0</xdr:row>
      <xdr:rowOff>82550</xdr:rowOff>
    </xdr:from>
    <xdr:to>
      <xdr:col>0</xdr:col>
      <xdr:colOff>1601443</xdr:colOff>
      <xdr:row>1</xdr:row>
      <xdr:rowOff>79374</xdr:rowOff>
    </xdr:to>
    <xdr:pic>
      <xdr:nvPicPr>
        <xdr:cNvPr id="2" name="Ảnh 1">
          <a:extLst>
            <a:ext uri="{FF2B5EF4-FFF2-40B4-BE49-F238E27FC236}">
              <a16:creationId xmlns:a16="http://schemas.microsoft.com/office/drawing/2014/main" id="{C297F015-552A-4CB2-BAB1-820E27945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114300" y="82550"/>
          <a:ext cx="1487143" cy="3968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142875</xdr:colOff>
      <xdr:row>0</xdr:row>
      <xdr:rowOff>104775</xdr:rowOff>
    </xdr:from>
    <xdr:to>
      <xdr:col>8</xdr:col>
      <xdr:colOff>162849</xdr:colOff>
      <xdr:row>15</xdr:row>
      <xdr:rowOff>22923</xdr:rowOff>
    </xdr:to>
    <xdr:pic>
      <xdr:nvPicPr>
        <xdr:cNvPr id="2" name="Ảnh 1">
          <a:extLst>
            <a:ext uri="{FF2B5EF4-FFF2-40B4-BE49-F238E27FC236}">
              <a16:creationId xmlns:a16="http://schemas.microsoft.com/office/drawing/2014/main" id="{E269B532-083C-4DC7-8B4C-466B53B60600}"/>
            </a:ext>
          </a:extLst>
        </xdr:cNvPr>
        <xdr:cNvPicPr>
          <a:picLocks noChangeAspect="1"/>
        </xdr:cNvPicPr>
      </xdr:nvPicPr>
      <xdr:blipFill>
        <a:blip xmlns:r="http://schemas.openxmlformats.org/officeDocument/2006/relationships" r:embed="rId1"/>
        <a:stretch>
          <a:fillRect/>
        </a:stretch>
      </xdr:blipFill>
      <xdr:spPr>
        <a:xfrm>
          <a:off x="11382375" y="104775"/>
          <a:ext cx="5687349" cy="578554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mailto:quynhnlk@coteccons.vn" TargetMode="External"/><Relationship Id="rId2" Type="http://schemas.openxmlformats.org/officeDocument/2006/relationships/hyperlink" Target="mailto:congdpt@coteccons.vn" TargetMode="External"/><Relationship Id="rId1" Type="http://schemas.openxmlformats.org/officeDocument/2006/relationships/hyperlink" Target="mailto:thoannp@coteccons.vn" TargetMode="External"/><Relationship Id="rId6" Type="http://schemas.openxmlformats.org/officeDocument/2006/relationships/hyperlink" Target="mailto:trucnlt@cotecconsgroupvn.onmicrosoft.com" TargetMode="External"/><Relationship Id="rId5" Type="http://schemas.openxmlformats.org/officeDocument/2006/relationships/hyperlink" Target="mailto:nhannt02@cotecconsgroupvn.onmicrosoft.com" TargetMode="External"/><Relationship Id="rId4" Type="http://schemas.openxmlformats.org/officeDocument/2006/relationships/hyperlink" Target="mailto:giatbh@coteccons.v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hyperlink" Target="https://www.freecodecamp.org/news/how-does-pretty-good-privacy-work-3f5f75ecea97/" TargetMode="External"/><Relationship Id="rId1" Type="http://schemas.openxmlformats.org/officeDocument/2006/relationships/hyperlink" Target="https://www.atlassian.com/ag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EF252-7D55-40C0-A707-60541D246C8B}">
  <sheetPr>
    <tabColor theme="9" tint="-0.249977111117893"/>
  </sheetPr>
  <dimension ref="A1:L25"/>
  <sheetViews>
    <sheetView zoomScale="85" zoomScaleNormal="85" workbookViewId="0">
      <selection activeCell="B17" sqref="B17"/>
    </sheetView>
  </sheetViews>
  <sheetFormatPr baseColWidth="10" defaultColWidth="8.83203125" defaultRowHeight="15"/>
  <cols>
    <col min="1" max="1" width="36" customWidth="1"/>
    <col min="2" max="2" width="26.83203125" customWidth="1"/>
    <col min="13" max="13" width="9.33203125" customWidth="1"/>
  </cols>
  <sheetData>
    <row r="1" spans="1:12" ht="19">
      <c r="A1" s="2" t="s">
        <v>0</v>
      </c>
      <c r="J1" s="9" t="s">
        <v>1</v>
      </c>
    </row>
    <row r="2" spans="1:12">
      <c r="A2" s="1" t="s">
        <v>2</v>
      </c>
      <c r="B2" s="1" t="s">
        <v>3</v>
      </c>
      <c r="C2" s="1" t="s">
        <v>4</v>
      </c>
      <c r="J2" s="1" t="s">
        <v>5</v>
      </c>
      <c r="K2" s="1" t="s">
        <v>6</v>
      </c>
      <c r="L2" s="1" t="s">
        <v>4</v>
      </c>
    </row>
    <row r="3" spans="1:12">
      <c r="A3" s="1">
        <v>1</v>
      </c>
      <c r="B3" t="s">
        <v>7</v>
      </c>
      <c r="C3" t="s">
        <v>8</v>
      </c>
      <c r="J3" s="1" t="s">
        <v>9</v>
      </c>
      <c r="K3">
        <v>3</v>
      </c>
      <c r="L3" t="s">
        <v>10</v>
      </c>
    </row>
    <row r="4" spans="1:12">
      <c r="A4" s="1">
        <v>2</v>
      </c>
      <c r="B4" t="s">
        <v>11</v>
      </c>
      <c r="C4" t="s">
        <v>12</v>
      </c>
      <c r="J4" s="1" t="s">
        <v>13</v>
      </c>
      <c r="K4">
        <v>2</v>
      </c>
      <c r="L4" t="s">
        <v>14</v>
      </c>
    </row>
    <row r="5" spans="1:12">
      <c r="A5" s="1">
        <v>3</v>
      </c>
      <c r="B5" t="s">
        <v>15</v>
      </c>
      <c r="C5" t="s">
        <v>16</v>
      </c>
      <c r="J5" s="1" t="s">
        <v>17</v>
      </c>
      <c r="K5">
        <v>1</v>
      </c>
      <c r="L5" t="s">
        <v>18</v>
      </c>
    </row>
    <row r="6" spans="1:12">
      <c r="A6" s="1">
        <v>4</v>
      </c>
      <c r="B6" t="s">
        <v>19</v>
      </c>
      <c r="C6" t="s">
        <v>20</v>
      </c>
    </row>
    <row r="7" spans="1:12">
      <c r="A7" s="1">
        <v>5</v>
      </c>
      <c r="B7" t="s">
        <v>21</v>
      </c>
      <c r="C7" t="s">
        <v>22</v>
      </c>
    </row>
    <row r="11" spans="1:12" ht="19">
      <c r="A11" s="9" t="s">
        <v>23</v>
      </c>
    </row>
    <row r="12" spans="1:12">
      <c r="A12" s="1" t="s">
        <v>24</v>
      </c>
      <c r="B12" s="1" t="s">
        <v>25</v>
      </c>
      <c r="C12" s="1" t="s">
        <v>26</v>
      </c>
    </row>
    <row r="13" spans="1:12">
      <c r="A13" t="s">
        <v>27</v>
      </c>
      <c r="B13" t="s">
        <v>28</v>
      </c>
      <c r="C13" t="s">
        <v>29</v>
      </c>
    </row>
    <row r="14" spans="1:12">
      <c r="A14" t="s">
        <v>30</v>
      </c>
      <c r="B14" t="s">
        <v>31</v>
      </c>
      <c r="C14" t="s">
        <v>32</v>
      </c>
    </row>
    <row r="15" spans="1:12">
      <c r="A15" t="s">
        <v>33</v>
      </c>
      <c r="B15" t="s">
        <v>34</v>
      </c>
      <c r="C15" t="s">
        <v>35</v>
      </c>
    </row>
    <row r="19" spans="1:3" ht="19">
      <c r="A19" s="9" t="s">
        <v>36</v>
      </c>
    </row>
    <row r="20" spans="1:3">
      <c r="A20" t="s">
        <v>37</v>
      </c>
    </row>
    <row r="21" spans="1:3">
      <c r="A21" s="1" t="s">
        <v>38</v>
      </c>
      <c r="B21" s="1" t="s">
        <v>39</v>
      </c>
      <c r="C21" s="1" t="s">
        <v>40</v>
      </c>
    </row>
    <row r="22" spans="1:3">
      <c r="A22" s="1" t="s">
        <v>41</v>
      </c>
      <c r="B22" t="s">
        <v>42</v>
      </c>
      <c r="C22" t="s">
        <v>43</v>
      </c>
    </row>
    <row r="23" spans="1:3">
      <c r="A23" s="1" t="s">
        <v>44</v>
      </c>
      <c r="B23" t="s">
        <v>45</v>
      </c>
      <c r="C23" t="s">
        <v>46</v>
      </c>
    </row>
    <row r="24" spans="1:3">
      <c r="A24" s="1" t="s">
        <v>47</v>
      </c>
      <c r="B24" t="s">
        <v>48</v>
      </c>
      <c r="C24" t="s">
        <v>49</v>
      </c>
    </row>
    <row r="25" spans="1:3">
      <c r="A25" s="1" t="s">
        <v>50</v>
      </c>
      <c r="B25" t="s">
        <v>51</v>
      </c>
      <c r="C25"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F49"/>
  <sheetViews>
    <sheetView zoomScale="85" zoomScaleNormal="85" workbookViewId="0">
      <selection activeCell="B34" sqref="B34"/>
    </sheetView>
  </sheetViews>
  <sheetFormatPr baseColWidth="10" defaultColWidth="8.83203125" defaultRowHeight="15"/>
  <cols>
    <col min="1" max="1" width="6.6640625" customWidth="1"/>
    <col min="2" max="2" width="70.1640625" customWidth="1"/>
    <col min="3" max="3" width="38.5" bestFit="1" customWidth="1"/>
    <col min="4" max="4" width="59.33203125" customWidth="1"/>
    <col min="5" max="5" width="59.83203125" bestFit="1" customWidth="1"/>
    <col min="6" max="6" width="49.5" bestFit="1" customWidth="1"/>
  </cols>
  <sheetData>
    <row r="1" spans="1:5">
      <c r="A1" s="12" t="s">
        <v>53</v>
      </c>
      <c r="B1" s="13" t="s">
        <v>54</v>
      </c>
      <c r="C1" s="13"/>
      <c r="D1" s="12" t="s">
        <v>55</v>
      </c>
      <c r="E1" s="66">
        <v>46204</v>
      </c>
    </row>
    <row r="2" spans="1:5">
      <c r="A2" s="12" t="s">
        <v>56</v>
      </c>
      <c r="B2" s="13" t="s">
        <v>57</v>
      </c>
      <c r="C2" s="13"/>
      <c r="D2" s="12" t="s">
        <v>58</v>
      </c>
      <c r="E2" s="66">
        <v>46251</v>
      </c>
    </row>
    <row r="3" spans="1:5">
      <c r="A3" s="12" t="s">
        <v>59</v>
      </c>
      <c r="B3" s="13" t="s">
        <v>60</v>
      </c>
      <c r="C3" s="13"/>
      <c r="D3" s="12" t="s">
        <v>61</v>
      </c>
      <c r="E3" s="13"/>
    </row>
    <row r="4" spans="1:5">
      <c r="A4" s="12" t="s">
        <v>62</v>
      </c>
      <c r="B4" s="13" t="s">
        <v>63</v>
      </c>
      <c r="C4" s="13"/>
      <c r="D4" s="12" t="s">
        <v>64</v>
      </c>
      <c r="E4" s="14" t="s">
        <v>65</v>
      </c>
    </row>
    <row r="6" spans="1:5">
      <c r="A6" s="551" t="s">
        <v>66</v>
      </c>
      <c r="B6" s="551"/>
      <c r="C6" s="551"/>
      <c r="D6" s="551"/>
      <c r="E6" s="551"/>
    </row>
    <row r="7" spans="1:5" ht="32">
      <c r="A7" s="15" t="s">
        <v>67</v>
      </c>
      <c r="B7" s="15" t="s">
        <v>68</v>
      </c>
      <c r="C7" s="15" t="s">
        <v>69</v>
      </c>
      <c r="D7" s="15" t="s">
        <v>70</v>
      </c>
      <c r="E7" s="15" t="s">
        <v>71</v>
      </c>
    </row>
    <row r="8" spans="1:5">
      <c r="A8" s="18" t="s">
        <v>72</v>
      </c>
      <c r="B8" s="16"/>
      <c r="C8" s="16"/>
      <c r="D8" s="16"/>
      <c r="E8" s="19" t="e">
        <f>D8/B8</f>
        <v>#DIV/0!</v>
      </c>
    </row>
    <row r="9" spans="1:5">
      <c r="A9" s="20" t="s">
        <v>73</v>
      </c>
      <c r="B9" s="21"/>
      <c r="C9" s="21"/>
      <c r="D9" s="21"/>
      <c r="E9" s="19" t="e">
        <f>D9/B9</f>
        <v>#DIV/0!</v>
      </c>
    </row>
    <row r="10" spans="1:5">
      <c r="A10" s="18" t="s">
        <v>74</v>
      </c>
      <c r="B10" s="16"/>
      <c r="C10" s="16"/>
      <c r="D10" s="16"/>
      <c r="E10" s="19" t="e">
        <f>D10/B10</f>
        <v>#DIV/0!</v>
      </c>
    </row>
    <row r="11" spans="1:5">
      <c r="A11" s="18" t="s">
        <v>75</v>
      </c>
      <c r="B11" s="16"/>
      <c r="C11" s="16"/>
      <c r="D11" s="16"/>
      <c r="E11" s="19" t="e">
        <f>D11/B11</f>
        <v>#DIV/0!</v>
      </c>
    </row>
    <row r="13" spans="1:5" ht="16">
      <c r="A13" s="15" t="s">
        <v>76</v>
      </c>
      <c r="B13" s="15" t="s">
        <v>77</v>
      </c>
      <c r="C13" s="15" t="s">
        <v>78</v>
      </c>
    </row>
    <row r="14" spans="1:5">
      <c r="A14" s="18" t="s">
        <v>79</v>
      </c>
      <c r="B14" s="16"/>
      <c r="C14" s="16"/>
    </row>
    <row r="15" spans="1:5">
      <c r="A15" s="20" t="s">
        <v>63</v>
      </c>
      <c r="B15" s="21"/>
      <c r="C15" s="21"/>
    </row>
    <row r="16" spans="1:5">
      <c r="A16" s="18" t="s">
        <v>80</v>
      </c>
      <c r="B16" s="16"/>
      <c r="C16" s="16"/>
    </row>
    <row r="17" spans="1:6">
      <c r="A17" s="23"/>
      <c r="B17" s="23"/>
      <c r="C17" s="23"/>
    </row>
    <row r="20" spans="1:6">
      <c r="A20" s="551" t="s">
        <v>81</v>
      </c>
      <c r="B20" s="551"/>
      <c r="C20" s="551"/>
      <c r="D20" s="551"/>
      <c r="E20" s="551"/>
    </row>
    <row r="21" spans="1:6" ht="32">
      <c r="A21" s="15" t="s">
        <v>82</v>
      </c>
      <c r="B21" s="15" t="s">
        <v>83</v>
      </c>
      <c r="C21" s="15" t="s">
        <v>84</v>
      </c>
      <c r="D21" s="15" t="s">
        <v>85</v>
      </c>
      <c r="E21" s="15" t="s">
        <v>86</v>
      </c>
    </row>
    <row r="22" spans="1:6">
      <c r="A22" s="16"/>
      <c r="B22" s="16"/>
      <c r="C22" s="17"/>
      <c r="D22" s="16"/>
      <c r="E22" s="16"/>
    </row>
    <row r="23" spans="1:6">
      <c r="A23" s="16"/>
      <c r="B23" s="16"/>
      <c r="C23" s="16"/>
      <c r="D23" s="16"/>
      <c r="E23" s="16"/>
    </row>
    <row r="27" spans="1:6">
      <c r="A27" s="551" t="s">
        <v>87</v>
      </c>
      <c r="B27" s="551"/>
      <c r="C27" s="551"/>
      <c r="D27" s="551"/>
      <c r="E27" s="551"/>
    </row>
    <row r="28" spans="1:6" ht="16">
      <c r="A28" s="15" t="s">
        <v>88</v>
      </c>
      <c r="B28" s="15" t="s">
        <v>89</v>
      </c>
      <c r="C28" s="15" t="s">
        <v>90</v>
      </c>
      <c r="D28" s="15" t="s">
        <v>91</v>
      </c>
      <c r="E28" s="15" t="s">
        <v>92</v>
      </c>
      <c r="F28" s="15" t="s">
        <v>93</v>
      </c>
    </row>
    <row r="29" spans="1:6" ht="16">
      <c r="A29">
        <v>1</v>
      </c>
      <c r="B29" t="s">
        <v>94</v>
      </c>
      <c r="C29" t="s">
        <v>95</v>
      </c>
      <c r="D29" s="275" t="s">
        <v>96</v>
      </c>
      <c r="E29" t="s">
        <v>97</v>
      </c>
      <c r="F29" t="s">
        <v>98</v>
      </c>
    </row>
    <row r="30" spans="1:6" ht="16">
      <c r="A30">
        <v>2</v>
      </c>
      <c r="B30" t="s">
        <v>99</v>
      </c>
      <c r="C30" t="s">
        <v>95</v>
      </c>
      <c r="D30" s="275" t="s">
        <v>96</v>
      </c>
      <c r="E30" t="s">
        <v>100</v>
      </c>
      <c r="F30" t="s">
        <v>101</v>
      </c>
    </row>
    <row r="31" spans="1:6" ht="32">
      <c r="A31">
        <v>3</v>
      </c>
      <c r="B31" t="s">
        <v>102</v>
      </c>
      <c r="C31" t="s">
        <v>95</v>
      </c>
      <c r="D31" s="275" t="s">
        <v>103</v>
      </c>
      <c r="E31" t="s">
        <v>104</v>
      </c>
      <c r="F31" t="s">
        <v>105</v>
      </c>
    </row>
    <row r="32" spans="1:6" ht="32">
      <c r="A32">
        <v>4</v>
      </c>
      <c r="B32" t="s">
        <v>106</v>
      </c>
      <c r="C32" t="s">
        <v>95</v>
      </c>
      <c r="D32" s="275" t="s">
        <v>107</v>
      </c>
      <c r="E32" t="s">
        <v>108</v>
      </c>
      <c r="F32" t="s">
        <v>109</v>
      </c>
    </row>
    <row r="33" spans="1:6" ht="32">
      <c r="A33">
        <v>5</v>
      </c>
      <c r="B33" t="s">
        <v>110</v>
      </c>
      <c r="C33" t="s">
        <v>95</v>
      </c>
      <c r="D33" s="275" t="s">
        <v>111</v>
      </c>
      <c r="E33" t="s">
        <v>112</v>
      </c>
      <c r="F33" t="s">
        <v>113</v>
      </c>
    </row>
    <row r="34" spans="1:6" ht="16">
      <c r="A34">
        <v>6</v>
      </c>
      <c r="B34" t="s">
        <v>114</v>
      </c>
      <c r="C34" t="s">
        <v>95</v>
      </c>
      <c r="D34" s="275" t="s">
        <v>115</v>
      </c>
      <c r="E34" t="s">
        <v>116</v>
      </c>
      <c r="F34" t="s">
        <v>117</v>
      </c>
    </row>
    <row r="35" spans="1:6" ht="16">
      <c r="A35">
        <v>7</v>
      </c>
      <c r="B35" t="s">
        <v>118</v>
      </c>
      <c r="C35" t="s">
        <v>95</v>
      </c>
      <c r="D35" s="275" t="s">
        <v>119</v>
      </c>
      <c r="E35" t="s">
        <v>120</v>
      </c>
      <c r="F35" t="s">
        <v>121</v>
      </c>
    </row>
    <row r="36" spans="1:6" ht="16">
      <c r="A36">
        <v>8</v>
      </c>
      <c r="B36" t="s">
        <v>122</v>
      </c>
      <c r="C36" t="s">
        <v>123</v>
      </c>
      <c r="D36" s="275" t="s">
        <v>124</v>
      </c>
      <c r="E36" t="s">
        <v>125</v>
      </c>
      <c r="F36" t="s">
        <v>126</v>
      </c>
    </row>
    <row r="37" spans="1:6" ht="48">
      <c r="A37">
        <v>9</v>
      </c>
      <c r="B37" t="s">
        <v>127</v>
      </c>
      <c r="C37" t="s">
        <v>128</v>
      </c>
      <c r="D37" s="275" t="s">
        <v>129</v>
      </c>
      <c r="E37" t="s">
        <v>130</v>
      </c>
      <c r="F37" t="s">
        <v>131</v>
      </c>
    </row>
    <row r="38" spans="1:6" ht="48">
      <c r="A38">
        <v>10</v>
      </c>
      <c r="B38" t="s">
        <v>132</v>
      </c>
      <c r="C38" t="s">
        <v>128</v>
      </c>
      <c r="D38" s="275" t="s">
        <v>133</v>
      </c>
      <c r="E38" t="s">
        <v>134</v>
      </c>
      <c r="F38" t="s">
        <v>135</v>
      </c>
    </row>
    <row r="39" spans="1:6" ht="32">
      <c r="A39">
        <v>11</v>
      </c>
      <c r="B39" t="s">
        <v>136</v>
      </c>
      <c r="C39" t="s">
        <v>128</v>
      </c>
      <c r="D39" s="550" t="s">
        <v>137</v>
      </c>
      <c r="E39" t="s">
        <v>138</v>
      </c>
      <c r="F39" t="s">
        <v>139</v>
      </c>
    </row>
    <row r="40" spans="1:6">
      <c r="A40">
        <v>12</v>
      </c>
      <c r="B40" t="s">
        <v>140</v>
      </c>
      <c r="C40" t="s">
        <v>123</v>
      </c>
      <c r="D40" s="275"/>
      <c r="E40" t="s">
        <v>141</v>
      </c>
      <c r="F40" t="s">
        <v>142</v>
      </c>
    </row>
    <row r="41" spans="1:6">
      <c r="A41">
        <v>13</v>
      </c>
      <c r="B41" t="s">
        <v>143</v>
      </c>
      <c r="C41" t="s">
        <v>128</v>
      </c>
      <c r="D41" s="275"/>
      <c r="E41" t="s">
        <v>144</v>
      </c>
      <c r="F41" t="s">
        <v>145</v>
      </c>
    </row>
    <row r="42" spans="1:6">
      <c r="A42">
        <v>14</v>
      </c>
      <c r="B42" t="s">
        <v>146</v>
      </c>
      <c r="C42" t="s">
        <v>147</v>
      </c>
      <c r="D42" s="275"/>
      <c r="E42" t="s">
        <v>148</v>
      </c>
      <c r="F42" t="s">
        <v>149</v>
      </c>
    </row>
    <row r="43" spans="1:6">
      <c r="A43">
        <v>15</v>
      </c>
      <c r="B43" t="s">
        <v>150</v>
      </c>
      <c r="C43" t="s">
        <v>128</v>
      </c>
      <c r="D43" s="275"/>
      <c r="E43" t="s">
        <v>151</v>
      </c>
      <c r="F43" t="s">
        <v>152</v>
      </c>
    </row>
    <row r="44" spans="1:6">
      <c r="A44">
        <v>16</v>
      </c>
      <c r="B44" t="s">
        <v>153</v>
      </c>
      <c r="C44" t="s">
        <v>154</v>
      </c>
      <c r="D44" s="275"/>
      <c r="E44" t="s">
        <v>155</v>
      </c>
      <c r="F44" t="s">
        <v>156</v>
      </c>
    </row>
    <row r="45" spans="1:6">
      <c r="A45">
        <v>17</v>
      </c>
      <c r="B45" t="s">
        <v>157</v>
      </c>
      <c r="C45" t="s">
        <v>147</v>
      </c>
      <c r="D45" s="275"/>
      <c r="E45" t="s">
        <v>158</v>
      </c>
      <c r="F45" t="s">
        <v>159</v>
      </c>
    </row>
    <row r="46" spans="1:6" s="275" customFormat="1" ht="48">
      <c r="A46" s="275">
        <v>18</v>
      </c>
      <c r="B46" s="275" t="s">
        <v>160</v>
      </c>
      <c r="C46" s="275" t="s">
        <v>161</v>
      </c>
      <c r="E46" s="275" t="s">
        <v>162</v>
      </c>
      <c r="F46" s="275" t="s">
        <v>159</v>
      </c>
    </row>
    <row r="47" spans="1:6">
      <c r="A47">
        <v>19</v>
      </c>
      <c r="B47" t="s">
        <v>163</v>
      </c>
      <c r="C47" t="s">
        <v>164</v>
      </c>
      <c r="D47" s="275"/>
      <c r="E47" t="s">
        <v>165</v>
      </c>
      <c r="F47" t="s">
        <v>166</v>
      </c>
    </row>
    <row r="48" spans="1:6">
      <c r="A48">
        <v>20</v>
      </c>
      <c r="B48" t="s">
        <v>167</v>
      </c>
      <c r="C48" t="s">
        <v>164</v>
      </c>
      <c r="D48" s="275"/>
      <c r="E48" t="s">
        <v>165</v>
      </c>
      <c r="F48" t="s">
        <v>166</v>
      </c>
    </row>
    <row r="49" spans="1:6">
      <c r="A49">
        <v>21</v>
      </c>
      <c r="B49" t="s">
        <v>168</v>
      </c>
      <c r="C49" t="s">
        <v>95</v>
      </c>
      <c r="D49" s="275"/>
      <c r="E49" t="s">
        <v>169</v>
      </c>
      <c r="F49" t="s">
        <v>170</v>
      </c>
    </row>
  </sheetData>
  <mergeCells count="3">
    <mergeCell ref="A20:E20"/>
    <mergeCell ref="A6:E6"/>
    <mergeCell ref="A27:E2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02A85-1EA3-4318-BC05-36A3722E23FF}">
  <dimension ref="A1:H19"/>
  <sheetViews>
    <sheetView workbookViewId="0">
      <selection activeCell="A2" sqref="A2:E2"/>
    </sheetView>
  </sheetViews>
  <sheetFormatPr baseColWidth="10" defaultColWidth="8.83203125" defaultRowHeight="15" customHeight="1"/>
  <cols>
    <col min="1" max="1" width="3.33203125" customWidth="1"/>
    <col min="2" max="2" width="21.1640625" customWidth="1"/>
    <col min="3" max="3" width="23.6640625" bestFit="1" customWidth="1"/>
    <col min="4" max="4" width="29.33203125" customWidth="1"/>
    <col min="5" max="5" width="44.6640625" customWidth="1"/>
  </cols>
  <sheetData>
    <row r="1" spans="1:8">
      <c r="A1" s="1" t="s">
        <v>171</v>
      </c>
    </row>
    <row r="2" spans="1:8">
      <c r="A2" s="551" t="s">
        <v>172</v>
      </c>
      <c r="B2" s="551" t="s">
        <v>172</v>
      </c>
      <c r="C2" s="551"/>
      <c r="D2" s="551"/>
      <c r="E2" s="551"/>
    </row>
    <row r="3" spans="1:8">
      <c r="A3" s="24" t="s">
        <v>173</v>
      </c>
      <c r="B3" s="24" t="s">
        <v>89</v>
      </c>
      <c r="C3" s="24" t="s">
        <v>174</v>
      </c>
      <c r="D3" s="26" t="s">
        <v>175</v>
      </c>
      <c r="E3" s="24"/>
    </row>
    <row r="4" spans="1:8">
      <c r="B4" t="s">
        <v>176</v>
      </c>
      <c r="C4" s="22" t="s">
        <v>177</v>
      </c>
      <c r="D4" t="s">
        <v>178</v>
      </c>
    </row>
    <row r="5" spans="1:8">
      <c r="B5" t="s">
        <v>179</v>
      </c>
      <c r="C5" s="22" t="s">
        <v>180</v>
      </c>
      <c r="D5" t="s">
        <v>181</v>
      </c>
    </row>
    <row r="6" spans="1:8">
      <c r="B6" t="s">
        <v>182</v>
      </c>
      <c r="C6" s="22" t="s">
        <v>183</v>
      </c>
      <c r="D6" t="s">
        <v>72</v>
      </c>
      <c r="E6" t="s">
        <v>184</v>
      </c>
    </row>
    <row r="7" spans="1:8">
      <c r="B7" t="s">
        <v>185</v>
      </c>
      <c r="C7" s="22" t="s">
        <v>186</v>
      </c>
      <c r="D7" t="s">
        <v>72</v>
      </c>
      <c r="E7" t="s">
        <v>187</v>
      </c>
    </row>
    <row r="8" spans="1:8">
      <c r="B8" t="s">
        <v>188</v>
      </c>
      <c r="C8" s="22" t="s">
        <v>189</v>
      </c>
      <c r="D8" t="s">
        <v>190</v>
      </c>
      <c r="E8" t="s">
        <v>191</v>
      </c>
    </row>
    <row r="9" spans="1:8">
      <c r="B9" t="s">
        <v>192</v>
      </c>
      <c r="C9" s="22" t="s">
        <v>193</v>
      </c>
      <c r="D9" t="s">
        <v>194</v>
      </c>
      <c r="E9" t="s">
        <v>195</v>
      </c>
      <c r="G9" s="3"/>
      <c r="H9" s="3"/>
    </row>
    <row r="10" spans="1:8">
      <c r="B10" t="s">
        <v>196</v>
      </c>
      <c r="C10" s="22" t="s">
        <v>197</v>
      </c>
      <c r="D10" t="s">
        <v>198</v>
      </c>
      <c r="E10" t="s">
        <v>195</v>
      </c>
      <c r="G10" s="3"/>
      <c r="H10" s="3"/>
    </row>
    <row r="11" spans="1:8">
      <c r="B11" t="s">
        <v>199</v>
      </c>
      <c r="C11" s="22" t="s">
        <v>200</v>
      </c>
      <c r="D11" t="s">
        <v>201</v>
      </c>
      <c r="E11" t="s">
        <v>202</v>
      </c>
    </row>
    <row r="12" spans="1:8"/>
    <row r="13" spans="1:8"/>
    <row r="14" spans="1:8">
      <c r="A14" s="552" t="s">
        <v>203</v>
      </c>
      <c r="B14" s="552"/>
      <c r="C14" s="552"/>
      <c r="D14" s="552"/>
    </row>
    <row r="15" spans="1:8" ht="14.5" customHeight="1">
      <c r="A15" s="24" t="s">
        <v>173</v>
      </c>
      <c r="B15" s="28" t="s">
        <v>89</v>
      </c>
      <c r="C15" s="65" t="s">
        <v>174</v>
      </c>
      <c r="D15" s="64" t="s">
        <v>204</v>
      </c>
    </row>
    <row r="16" spans="1:8">
      <c r="B16" t="s">
        <v>205</v>
      </c>
      <c r="C16" s="22" t="s">
        <v>206</v>
      </c>
      <c r="D16" t="s">
        <v>207</v>
      </c>
    </row>
    <row r="17" spans="2:4">
      <c r="B17" t="s">
        <v>208</v>
      </c>
      <c r="C17" s="22" t="s">
        <v>209</v>
      </c>
      <c r="D17" t="s">
        <v>210</v>
      </c>
    </row>
    <row r="18" spans="2:4" ht="16">
      <c r="B18" s="27"/>
      <c r="C18" s="27"/>
      <c r="D18" s="27"/>
    </row>
    <row r="19" spans="2:4"/>
  </sheetData>
  <mergeCells count="2">
    <mergeCell ref="A2:E2"/>
    <mergeCell ref="A14:D14"/>
  </mergeCells>
  <hyperlinks>
    <hyperlink ref="C4" r:id="rId1" xr:uid="{EDB25239-DCB6-49D0-AE95-C1AC4B3FBAA8}"/>
    <hyperlink ref="C6" r:id="rId2" xr:uid="{8850916D-7D68-4A0E-9AF7-1B519D42F2E4}"/>
    <hyperlink ref="C7" r:id="rId3" xr:uid="{E27E9841-A6F0-4D7C-A044-E1B644A81FB7}"/>
    <hyperlink ref="C9" r:id="rId4" xr:uid="{86E414C7-0794-4ED2-B7C3-69C99D3FA1A4}"/>
    <hyperlink ref="C10" r:id="rId5" xr:uid="{6C4B4B04-460F-46DB-BDB9-FB2CF55FD801}"/>
    <hyperlink ref="C11" r:id="rId6" xr:uid="{7CB8860E-C721-41D6-A26F-E4ECA319999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AC7BF-796D-49F5-9C1E-A7AB1FB5F4F7}">
  <dimension ref="A1:N43"/>
  <sheetViews>
    <sheetView workbookViewId="0">
      <selection activeCell="L19" sqref="L19"/>
    </sheetView>
  </sheetViews>
  <sheetFormatPr baseColWidth="10" defaultColWidth="8.83203125" defaultRowHeight="15"/>
  <sheetData>
    <row r="1" spans="1:8" ht="20">
      <c r="A1" s="34" t="s">
        <v>211</v>
      </c>
    </row>
    <row r="2" spans="1:8">
      <c r="A2" s="35"/>
    </row>
    <row r="3" spans="1:8" ht="16">
      <c r="A3" s="36" t="s">
        <v>212</v>
      </c>
    </row>
    <row r="4" spans="1:8">
      <c r="A4" s="37" t="s">
        <v>213</v>
      </c>
    </row>
    <row r="5" spans="1:8">
      <c r="A5" s="37" t="s">
        <v>214</v>
      </c>
    </row>
    <row r="6" spans="1:8">
      <c r="A6" s="38" t="s">
        <v>215</v>
      </c>
    </row>
    <row r="7" spans="1:8">
      <c r="A7" s="37" t="s">
        <v>216</v>
      </c>
    </row>
    <row r="8" spans="1:8">
      <c r="A8" s="39" t="s">
        <v>217</v>
      </c>
      <c r="G8" s="40" t="s">
        <v>218</v>
      </c>
    </row>
    <row r="9" spans="1:8">
      <c r="A9" s="35"/>
    </row>
    <row r="10" spans="1:8" ht="16">
      <c r="A10" s="36" t="s">
        <v>219</v>
      </c>
      <c r="H10" s="41"/>
    </row>
    <row r="11" spans="1:8">
      <c r="A11" s="42" t="s">
        <v>220</v>
      </c>
    </row>
    <row r="12" spans="1:8">
      <c r="A12" s="44" t="s">
        <v>221</v>
      </c>
    </row>
    <row r="13" spans="1:8">
      <c r="A13" s="44" t="s">
        <v>222</v>
      </c>
      <c r="H13" s="45" t="s">
        <v>223</v>
      </c>
    </row>
    <row r="14" spans="1:8">
      <c r="A14" s="43" t="s">
        <v>224</v>
      </c>
    </row>
    <row r="15" spans="1:8">
      <c r="A15" s="43" t="s">
        <v>225</v>
      </c>
    </row>
    <row r="16" spans="1:8">
      <c r="A16" s="43" t="s">
        <v>226</v>
      </c>
    </row>
    <row r="17" spans="1:14">
      <c r="A17" s="44" t="s">
        <v>227</v>
      </c>
    </row>
    <row r="18" spans="1:14">
      <c r="A18" s="35"/>
    </row>
    <row r="19" spans="1:14" ht="16">
      <c r="A19" s="36" t="s">
        <v>228</v>
      </c>
    </row>
    <row r="20" spans="1:14">
      <c r="A20" s="43" t="s">
        <v>229</v>
      </c>
    </row>
    <row r="21" spans="1:14">
      <c r="A21" s="39" t="s">
        <v>230</v>
      </c>
      <c r="F21" s="45" t="s">
        <v>231</v>
      </c>
    </row>
    <row r="22" spans="1:14">
      <c r="A22" s="43" t="s">
        <v>232</v>
      </c>
    </row>
    <row r="23" spans="1:14">
      <c r="A23" s="43" t="s">
        <v>233</v>
      </c>
    </row>
    <row r="24" spans="1:14">
      <c r="A24" s="35"/>
    </row>
    <row r="25" spans="1:14" ht="16">
      <c r="A25" s="36" t="s">
        <v>234</v>
      </c>
    </row>
    <row r="26" spans="1:14">
      <c r="A26" s="43" t="s">
        <v>235</v>
      </c>
    </row>
    <row r="27" spans="1:14">
      <c r="A27" s="43" t="s">
        <v>236</v>
      </c>
    </row>
    <row r="28" spans="1:14">
      <c r="A28" s="39" t="s">
        <v>237</v>
      </c>
      <c r="F28" s="45" t="s">
        <v>238</v>
      </c>
    </row>
    <row r="29" spans="1:14">
      <c r="A29" s="43" t="s">
        <v>239</v>
      </c>
    </row>
    <row r="31" spans="1:14" ht="16">
      <c r="A31" s="36" t="s">
        <v>240</v>
      </c>
    </row>
    <row r="32" spans="1:14">
      <c r="A32" s="46" t="s">
        <v>241</v>
      </c>
      <c r="B32" s="47"/>
      <c r="C32" s="47"/>
      <c r="D32" s="47"/>
      <c r="E32" s="47"/>
      <c r="F32" s="47"/>
      <c r="G32" s="47"/>
      <c r="H32" s="57" t="s">
        <v>242</v>
      </c>
      <c r="I32" s="47"/>
      <c r="J32" s="47"/>
      <c r="K32" s="47"/>
      <c r="L32" s="47"/>
      <c r="M32" s="47"/>
      <c r="N32" s="48"/>
    </row>
    <row r="33" spans="1:14">
      <c r="A33" s="49" t="s">
        <v>243</v>
      </c>
      <c r="H33" s="52" t="s">
        <v>244</v>
      </c>
      <c r="N33" s="50"/>
    </row>
    <row r="34" spans="1:14">
      <c r="A34" s="49" t="s">
        <v>245</v>
      </c>
      <c r="H34" s="53" t="s">
        <v>246</v>
      </c>
      <c r="N34" s="50"/>
    </row>
    <row r="35" spans="1:14">
      <c r="A35" s="49"/>
      <c r="B35" s="51" t="s">
        <v>247</v>
      </c>
      <c r="H35" s="52"/>
      <c r="I35" s="51" t="s">
        <v>248</v>
      </c>
      <c r="N35" s="50"/>
    </row>
    <row r="36" spans="1:14">
      <c r="A36" s="49" t="s">
        <v>249</v>
      </c>
      <c r="H36" s="52"/>
      <c r="I36" s="51" t="s">
        <v>250</v>
      </c>
      <c r="N36" s="50"/>
    </row>
    <row r="37" spans="1:14">
      <c r="A37" s="52"/>
      <c r="B37" s="51" t="s">
        <v>251</v>
      </c>
      <c r="H37" s="53" t="s">
        <v>252</v>
      </c>
      <c r="N37" s="50"/>
    </row>
    <row r="38" spans="1:14">
      <c r="A38" s="52"/>
      <c r="B38" s="51" t="s">
        <v>253</v>
      </c>
      <c r="H38" s="52"/>
      <c r="I38" s="51" t="s">
        <v>254</v>
      </c>
      <c r="N38" s="50"/>
    </row>
    <row r="39" spans="1:14">
      <c r="A39" s="52"/>
      <c r="B39" s="51" t="s">
        <v>255</v>
      </c>
      <c r="H39" s="59" t="s">
        <v>256</v>
      </c>
      <c r="N39" s="50"/>
    </row>
    <row r="40" spans="1:14">
      <c r="A40" s="52"/>
      <c r="B40" s="51" t="s">
        <v>248</v>
      </c>
      <c r="H40" s="52"/>
      <c r="N40" s="50"/>
    </row>
    <row r="41" spans="1:14">
      <c r="A41" s="53" t="s">
        <v>257</v>
      </c>
      <c r="H41" s="52"/>
      <c r="N41" s="50"/>
    </row>
    <row r="42" spans="1:14">
      <c r="A42" s="52"/>
      <c r="B42" s="51" t="s">
        <v>258</v>
      </c>
      <c r="H42" s="52"/>
      <c r="N42" s="50"/>
    </row>
    <row r="43" spans="1:14">
      <c r="A43" s="54" t="s">
        <v>259</v>
      </c>
      <c r="B43" s="55"/>
      <c r="C43" s="55"/>
      <c r="D43" s="55"/>
      <c r="E43" s="55"/>
      <c r="F43" s="55"/>
      <c r="G43" s="55"/>
      <c r="H43" s="58"/>
      <c r="I43" s="55"/>
      <c r="J43" s="55"/>
      <c r="K43" s="55"/>
      <c r="L43" s="55"/>
      <c r="M43" s="55"/>
      <c r="N43" s="5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A26C9-32A5-42BA-8307-8CAF36CE4FD7}">
  <dimension ref="A1:J31"/>
  <sheetViews>
    <sheetView workbookViewId="0">
      <selection activeCell="C27" sqref="C27"/>
    </sheetView>
  </sheetViews>
  <sheetFormatPr baseColWidth="10" defaultColWidth="8.83203125" defaultRowHeight="15"/>
  <cols>
    <col min="1" max="1" width="6.1640625" customWidth="1"/>
    <col min="2" max="2" width="18.5" customWidth="1"/>
    <col min="3" max="3" width="94.6640625" customWidth="1"/>
  </cols>
  <sheetData>
    <row r="1" spans="1:10">
      <c r="A1" s="556" t="s">
        <v>260</v>
      </c>
      <c r="B1" s="556"/>
      <c r="C1" s="556"/>
      <c r="D1" s="556"/>
      <c r="E1" s="556"/>
      <c r="F1" s="556"/>
      <c r="G1" s="556"/>
      <c r="H1" s="556"/>
      <c r="I1" s="556"/>
      <c r="J1" s="556"/>
    </row>
    <row r="2" spans="1:10">
      <c r="A2" s="24" t="s">
        <v>173</v>
      </c>
      <c r="B2" s="24" t="s">
        <v>261</v>
      </c>
      <c r="C2" s="24"/>
      <c r="D2" s="24" t="s">
        <v>262</v>
      </c>
      <c r="E2" s="24" t="s">
        <v>263</v>
      </c>
      <c r="F2" s="24" t="s">
        <v>264</v>
      </c>
      <c r="G2" s="24" t="s">
        <v>265</v>
      </c>
      <c r="H2" s="24" t="s">
        <v>266</v>
      </c>
      <c r="I2" s="24" t="s">
        <v>267</v>
      </c>
      <c r="J2" s="24" t="s">
        <v>268</v>
      </c>
    </row>
    <row r="3" spans="1:10">
      <c r="A3" s="260">
        <v>1</v>
      </c>
      <c r="B3" s="67" t="s">
        <v>269</v>
      </c>
      <c r="C3" s="67"/>
      <c r="D3" s="261">
        <v>300</v>
      </c>
      <c r="E3" s="261">
        <v>400</v>
      </c>
      <c r="F3" s="261">
        <v>400</v>
      </c>
      <c r="G3" s="261">
        <v>600</v>
      </c>
      <c r="H3" s="261">
        <v>800</v>
      </c>
      <c r="I3" s="261" t="s">
        <v>270</v>
      </c>
      <c r="J3" s="261" t="s">
        <v>270</v>
      </c>
    </row>
    <row r="4" spans="1:10">
      <c r="A4" s="553">
        <v>2</v>
      </c>
      <c r="B4" s="554" t="s">
        <v>271</v>
      </c>
      <c r="C4" s="67" t="s">
        <v>272</v>
      </c>
      <c r="D4" s="262"/>
      <c r="E4" s="262"/>
      <c r="F4" s="262"/>
      <c r="G4" s="262"/>
      <c r="H4" s="262"/>
      <c r="I4" s="261" t="s">
        <v>273</v>
      </c>
      <c r="J4" s="261" t="s">
        <v>274</v>
      </c>
    </row>
    <row r="5" spans="1:10">
      <c r="A5" s="553"/>
      <c r="B5" s="554"/>
      <c r="C5" s="67" t="s">
        <v>275</v>
      </c>
      <c r="D5" s="262"/>
      <c r="E5" s="262"/>
      <c r="F5" s="262"/>
      <c r="G5" s="262"/>
      <c r="H5" s="262"/>
      <c r="I5" s="262"/>
      <c r="J5" s="261" t="s">
        <v>276</v>
      </c>
    </row>
    <row r="6" spans="1:10">
      <c r="A6" s="553">
        <v>3</v>
      </c>
      <c r="B6" s="554" t="s">
        <v>277</v>
      </c>
      <c r="C6" s="67" t="s">
        <v>278</v>
      </c>
      <c r="D6" s="558" t="s">
        <v>279</v>
      </c>
      <c r="E6" s="559"/>
      <c r="F6" s="559"/>
      <c r="G6" s="559"/>
      <c r="H6" s="559"/>
      <c r="I6" s="559"/>
      <c r="J6" s="560"/>
    </row>
    <row r="7" spans="1:10">
      <c r="A7" s="553"/>
      <c r="B7" s="554"/>
      <c r="C7" s="67" t="s">
        <v>280</v>
      </c>
      <c r="D7" s="264"/>
      <c r="E7" s="261" t="s">
        <v>270</v>
      </c>
      <c r="F7" s="261" t="s">
        <v>270</v>
      </c>
      <c r="G7" s="261" t="s">
        <v>270</v>
      </c>
      <c r="H7" s="261" t="s">
        <v>270</v>
      </c>
      <c r="I7" s="264"/>
      <c r="J7" s="264"/>
    </row>
    <row r="8" spans="1:10">
      <c r="A8" s="553">
        <v>4</v>
      </c>
      <c r="B8" s="554" t="s">
        <v>281</v>
      </c>
      <c r="C8" s="67" t="s">
        <v>282</v>
      </c>
      <c r="D8" s="561" t="s">
        <v>283</v>
      </c>
      <c r="E8" s="561"/>
      <c r="F8" s="561"/>
      <c r="G8" s="561"/>
      <c r="H8" s="561"/>
      <c r="I8" s="561"/>
      <c r="J8" s="561"/>
    </row>
    <row r="9" spans="1:10">
      <c r="A9" s="553"/>
      <c r="B9" s="554"/>
      <c r="C9" s="67" t="s">
        <v>284</v>
      </c>
      <c r="D9" s="561" t="s">
        <v>285</v>
      </c>
      <c r="E9" s="561"/>
      <c r="F9" s="561"/>
      <c r="G9" s="561"/>
      <c r="H9" s="561"/>
      <c r="I9" s="561"/>
      <c r="J9" s="561"/>
    </row>
    <row r="10" spans="1:10">
      <c r="A10" s="553"/>
      <c r="B10" s="554"/>
      <c r="C10" s="67" t="s">
        <v>286</v>
      </c>
      <c r="D10" s="561" t="s">
        <v>287</v>
      </c>
      <c r="E10" s="561"/>
      <c r="F10" s="561"/>
      <c r="G10" s="561"/>
      <c r="H10" s="561"/>
      <c r="I10" s="561"/>
      <c r="J10" s="561"/>
    </row>
    <row r="11" spans="1:10">
      <c r="A11" s="553"/>
      <c r="B11" s="554"/>
      <c r="C11" s="67" t="s">
        <v>288</v>
      </c>
      <c r="D11" s="561" t="s">
        <v>289</v>
      </c>
      <c r="E11" s="561"/>
      <c r="F11" s="561"/>
      <c r="G11" s="561"/>
      <c r="H11" s="561"/>
      <c r="I11" s="561"/>
      <c r="J11" s="561"/>
    </row>
    <row r="12" spans="1:10">
      <c r="A12" s="553"/>
      <c r="B12" s="554"/>
      <c r="C12" s="67" t="s">
        <v>290</v>
      </c>
      <c r="D12" s="561" t="s">
        <v>291</v>
      </c>
      <c r="E12" s="561"/>
      <c r="F12" s="561"/>
      <c r="G12" s="561"/>
      <c r="H12" s="561"/>
      <c r="I12" s="561"/>
      <c r="J12" s="561"/>
    </row>
    <row r="13" spans="1:10">
      <c r="A13" s="67">
        <v>5</v>
      </c>
      <c r="B13" s="67" t="s">
        <v>292</v>
      </c>
      <c r="C13" s="67" t="s">
        <v>293</v>
      </c>
      <c r="D13" s="264"/>
      <c r="E13" s="263" t="s">
        <v>283</v>
      </c>
      <c r="F13" s="263" t="s">
        <v>294</v>
      </c>
      <c r="G13" s="263" t="s">
        <v>294</v>
      </c>
      <c r="H13" s="263" t="s">
        <v>295</v>
      </c>
      <c r="I13" s="264"/>
      <c r="J13" s="264"/>
    </row>
    <row r="14" spans="1:10">
      <c r="A14" s="67"/>
      <c r="B14" s="67"/>
      <c r="C14" s="67" t="s">
        <v>296</v>
      </c>
      <c r="D14" s="264"/>
      <c r="E14" s="263" t="s">
        <v>297</v>
      </c>
      <c r="F14" s="263" t="s">
        <v>298</v>
      </c>
      <c r="G14" s="263" t="s">
        <v>298</v>
      </c>
      <c r="H14" s="263" t="s">
        <v>299</v>
      </c>
      <c r="I14" s="264"/>
      <c r="J14" s="264"/>
    </row>
    <row r="15" spans="1:10">
      <c r="A15" s="67"/>
      <c r="B15" s="67"/>
      <c r="C15" s="67" t="s">
        <v>300</v>
      </c>
      <c r="D15" s="264"/>
      <c r="E15" s="263" t="s">
        <v>301</v>
      </c>
      <c r="F15" s="263" t="s">
        <v>302</v>
      </c>
      <c r="G15" s="263" t="s">
        <v>302</v>
      </c>
      <c r="H15" s="263" t="s">
        <v>287</v>
      </c>
      <c r="I15" s="264"/>
      <c r="J15" s="264"/>
    </row>
    <row r="16" spans="1:10">
      <c r="A16" s="67"/>
      <c r="B16" s="67"/>
      <c r="C16" s="67" t="s">
        <v>303</v>
      </c>
      <c r="D16" s="264"/>
      <c r="E16" s="263" t="s">
        <v>283</v>
      </c>
      <c r="F16" s="263" t="s">
        <v>294</v>
      </c>
      <c r="G16" s="263" t="s">
        <v>294</v>
      </c>
      <c r="H16" s="263" t="s">
        <v>295</v>
      </c>
      <c r="I16" s="264"/>
      <c r="J16" s="264"/>
    </row>
    <row r="17" spans="1:10">
      <c r="A17" s="67"/>
      <c r="B17" s="67"/>
      <c r="C17" s="67" t="s">
        <v>304</v>
      </c>
      <c r="D17" s="264"/>
      <c r="E17" s="263" t="s">
        <v>297</v>
      </c>
      <c r="F17" s="263" t="s">
        <v>298</v>
      </c>
      <c r="G17" s="263" t="s">
        <v>298</v>
      </c>
      <c r="H17" s="263" t="s">
        <v>299</v>
      </c>
      <c r="I17" s="264"/>
      <c r="J17" s="264"/>
    </row>
    <row r="18" spans="1:10">
      <c r="A18" s="67"/>
      <c r="B18" s="67"/>
      <c r="C18" s="67" t="s">
        <v>305</v>
      </c>
      <c r="D18" s="264"/>
      <c r="E18" s="263" t="s">
        <v>306</v>
      </c>
      <c r="F18" s="263" t="s">
        <v>307</v>
      </c>
      <c r="G18" s="263" t="s">
        <v>307</v>
      </c>
      <c r="H18" s="263" t="s">
        <v>308</v>
      </c>
      <c r="I18" s="264"/>
      <c r="J18" s="264"/>
    </row>
    <row r="19" spans="1:10">
      <c r="A19" s="67"/>
      <c r="B19" s="67"/>
      <c r="C19" s="67" t="s">
        <v>309</v>
      </c>
      <c r="D19" s="264"/>
      <c r="E19" s="263" t="s">
        <v>310</v>
      </c>
      <c r="F19" s="263" t="s">
        <v>311</v>
      </c>
      <c r="G19" s="263" t="s">
        <v>311</v>
      </c>
      <c r="H19" s="263" t="s">
        <v>312</v>
      </c>
      <c r="I19" s="264"/>
      <c r="J19" s="264"/>
    </row>
    <row r="20" spans="1:10">
      <c r="A20" s="553">
        <v>6</v>
      </c>
      <c r="B20" s="554" t="s">
        <v>313</v>
      </c>
      <c r="C20" s="67" t="s">
        <v>314</v>
      </c>
      <c r="D20" s="555" t="s">
        <v>315</v>
      </c>
      <c r="E20" s="555"/>
      <c r="F20" s="555"/>
      <c r="G20" s="555"/>
      <c r="H20" s="555"/>
      <c r="I20" s="555"/>
      <c r="J20" s="555"/>
    </row>
    <row r="21" spans="1:10">
      <c r="A21" s="553"/>
      <c r="B21" s="554"/>
      <c r="C21" s="67" t="s">
        <v>316</v>
      </c>
      <c r="D21" s="555" t="s">
        <v>317</v>
      </c>
      <c r="E21" s="555"/>
      <c r="F21" s="555"/>
      <c r="G21" s="555"/>
      <c r="H21" s="555"/>
      <c r="I21" s="555"/>
      <c r="J21" s="555"/>
    </row>
    <row r="22" spans="1:10">
      <c r="A22" s="553"/>
      <c r="B22" s="554"/>
      <c r="C22" s="67" t="s">
        <v>318</v>
      </c>
      <c r="D22" s="555" t="s">
        <v>315</v>
      </c>
      <c r="E22" s="555"/>
      <c r="F22" s="555"/>
      <c r="G22" s="555"/>
      <c r="H22" s="555"/>
      <c r="I22" s="555"/>
      <c r="J22" s="555"/>
    </row>
    <row r="23" spans="1:10">
      <c r="A23" s="553"/>
      <c r="B23" s="554"/>
      <c r="C23" s="67" t="s">
        <v>319</v>
      </c>
      <c r="D23" s="555" t="s">
        <v>320</v>
      </c>
      <c r="E23" s="555"/>
      <c r="F23" s="555"/>
      <c r="G23" s="555"/>
      <c r="H23" s="555"/>
      <c r="I23" s="555"/>
      <c r="J23" s="555"/>
    </row>
    <row r="24" spans="1:10">
      <c r="A24" s="557" t="s">
        <v>321</v>
      </c>
      <c r="B24" s="557"/>
      <c r="C24" s="557"/>
      <c r="D24" s="557"/>
      <c r="E24" s="557"/>
      <c r="F24" s="557"/>
      <c r="G24" s="557"/>
      <c r="H24" s="557"/>
      <c r="I24" s="557"/>
      <c r="J24" s="557"/>
    </row>
    <row r="25" spans="1:10">
      <c r="A25" s="24" t="s">
        <v>173</v>
      </c>
      <c r="B25" s="24" t="s">
        <v>261</v>
      </c>
      <c r="C25" s="24" t="s">
        <v>321</v>
      </c>
      <c r="D25" s="64" t="s">
        <v>322</v>
      </c>
      <c r="E25" s="64" t="s">
        <v>323</v>
      </c>
      <c r="F25" s="265"/>
      <c r="G25" s="265"/>
      <c r="H25" s="265"/>
      <c r="I25" s="265"/>
      <c r="J25" s="265"/>
    </row>
    <row r="26" spans="1:10">
      <c r="A26">
        <v>1</v>
      </c>
      <c r="B26" s="67" t="s">
        <v>292</v>
      </c>
      <c r="C26" t="s">
        <v>324</v>
      </c>
      <c r="D26" t="s">
        <v>325</v>
      </c>
      <c r="E26" t="s">
        <v>326</v>
      </c>
    </row>
    <row r="27" spans="1:10">
      <c r="A27">
        <v>2</v>
      </c>
    </row>
    <row r="28" spans="1:10">
      <c r="A28">
        <v>3</v>
      </c>
    </row>
    <row r="29" spans="1:10">
      <c r="A29">
        <v>4</v>
      </c>
    </row>
    <row r="30" spans="1:10">
      <c r="A30">
        <v>5</v>
      </c>
    </row>
    <row r="31" spans="1:10">
      <c r="A31">
        <v>6</v>
      </c>
    </row>
  </sheetData>
  <mergeCells count="20">
    <mergeCell ref="A1:J1"/>
    <mergeCell ref="A4:A5"/>
    <mergeCell ref="B4:B5"/>
    <mergeCell ref="A24:J24"/>
    <mergeCell ref="D6:J6"/>
    <mergeCell ref="D8:J8"/>
    <mergeCell ref="D9:J9"/>
    <mergeCell ref="D10:J10"/>
    <mergeCell ref="D11:J11"/>
    <mergeCell ref="D12:J12"/>
    <mergeCell ref="A20:A23"/>
    <mergeCell ref="B20:B23"/>
    <mergeCell ref="D20:J20"/>
    <mergeCell ref="D21:J21"/>
    <mergeCell ref="D22:J22"/>
    <mergeCell ref="A6:A7"/>
    <mergeCell ref="B6:B7"/>
    <mergeCell ref="A8:A12"/>
    <mergeCell ref="B8:B12"/>
    <mergeCell ref="D23:J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9E9A7-8952-48BE-98F3-0565265A347C}">
  <sheetPr>
    <tabColor rgb="FF92D050"/>
  </sheetPr>
  <dimension ref="A1:W127"/>
  <sheetViews>
    <sheetView tabSelected="1" workbookViewId="0">
      <pane ySplit="1" topLeftCell="A18" activePane="bottomLeft" state="frozen"/>
      <selection pane="bottomLeft" activeCell="I19" sqref="I19"/>
    </sheetView>
  </sheetViews>
  <sheetFormatPr baseColWidth="10" defaultColWidth="9.1640625" defaultRowHeight="15"/>
  <cols>
    <col min="1" max="1" width="24.5" bestFit="1" customWidth="1"/>
    <col min="2" max="2" width="11" customWidth="1"/>
    <col min="3" max="3" width="6.6640625" customWidth="1"/>
    <col min="4" max="4" width="6.83203125" customWidth="1"/>
    <col min="5" max="5" width="10.5" customWidth="1"/>
    <col min="6" max="6" width="5.1640625" customWidth="1"/>
    <col min="7" max="7" width="13.6640625" customWidth="1"/>
    <col min="8" max="8" width="27.6640625" customWidth="1"/>
    <col min="9" max="9" width="48.5" style="275" customWidth="1"/>
    <col min="10" max="10" width="48.5" style="275" customWidth="1"/>
    <col min="11" max="11" width="51.5" style="275" customWidth="1"/>
    <col min="12" max="12" width="60" customWidth="1"/>
    <col min="13" max="13" width="0" hidden="1" customWidth="1"/>
    <col min="14" max="16" width="12.1640625" customWidth="1"/>
    <col min="17" max="17" width="21.1640625" style="5" customWidth="1"/>
    <col min="18" max="18" width="13" customWidth="1"/>
    <col min="19" max="19" width="23.33203125" bestFit="1" customWidth="1"/>
    <col min="20" max="20" width="37.1640625" customWidth="1"/>
  </cols>
  <sheetData>
    <row r="1" spans="1:18" ht="32">
      <c r="A1" s="60" t="s">
        <v>327</v>
      </c>
      <c r="B1" s="60" t="s">
        <v>328</v>
      </c>
      <c r="C1" s="60" t="s">
        <v>329</v>
      </c>
      <c r="D1" s="60" t="s">
        <v>330</v>
      </c>
      <c r="E1" s="60" t="s">
        <v>331</v>
      </c>
      <c r="F1" s="60" t="s">
        <v>332</v>
      </c>
      <c r="G1" s="60" t="s">
        <v>333</v>
      </c>
      <c r="H1" s="60" t="s">
        <v>334</v>
      </c>
      <c r="I1" s="60" t="s">
        <v>335</v>
      </c>
      <c r="J1" t="inlineStr">
        <is>
          <t>công thức (param hoá)</t>
        </is>
      </c>
      <c r="K1" s="279" t="s">
        <v>336</v>
      </c>
      <c r="L1" t="inlineStr">
        <is>
          <t>Ghi chú (agent)</t>
        </is>
      </c>
      <c r="L1" t="inlineStr">
        <is>
          <t>Ghi chú (agent)</t>
        </is>
      </c>
      <c r="M1" s="279" t="s">
        <v>337</v>
      </c>
      <c r="N1" s="528" t="s">
        <v>338</v>
      </c>
      <c r="O1" s="528" t="s">
        <v>339</v>
      </c>
      <c r="P1" s="528" t="s">
        <v>340</v>
      </c>
      <c r="U1" t="inlineStr">
        <is>
          <t>PARAM</t>
        </is>
      </c>
      <c r="V1" t="inlineStr">
        <is>
          <t>Giá trị</t>
        </is>
      </c>
      <c r="W1" t="inlineStr">
        <is>
          <t>Dự đoán ý nghĩa</t>
        </is>
      </c>
    </row>
    <row r="2" spans="1:18" ht="16">
      <c r="A2" s="62" t="s">
        <v>341</v>
      </c>
      <c r="B2" s="501"/>
      <c r="C2" s="501" t="str">
        <f>SUBSTITUTE(ADDRESS(1, MATCH(A2, 'Payroll Mar 2026'!$8:$8, 0), 4), "1", "")</f>
        <v>W</v>
      </c>
      <c r="D2" s="61">
        <v>100</v>
      </c>
      <c r="E2" s="62" t="s">
        <v>342</v>
      </c>
      <c r="F2" s="62"/>
      <c r="G2" s="62"/>
      <c r="H2" s="62" t="s">
        <v>343</v>
      </c>
      <c r="I2" s="277"/>
      <c r="K2" s="488"/>
      <c r="Q2" s="564" t="s">
        <v>344</v>
      </c>
      <c r="R2" s="564"/>
      <c r="S2" s="564"/>
      <c r="T2" s="564"/>
      <c r="U2" t="inlineStr">
        <is>
          <t>CONTRACT_TYPE</t>
        </is>
      </c>
      <c r="V2" t="inlineStr">
        <is>
          <t>(input)</t>
        </is>
      </c>
      <c r="W2" t="inlineStr">
        <is>
          <t>Loại hợp đồng "Chính thức"/"Thử việc" — biến điều kiện cho các nhánh IF</t>
        </is>
      </c>
    </row>
    <row r="3" spans="1:18" ht="16">
      <c r="A3" s="62" t="s">
        <v>345</v>
      </c>
      <c r="B3" s="501" t="s">
        <v>346</v>
      </c>
      <c r="C3" s="501" t="str">
        <f>SUBSTITUTE(ADDRESS(1, MATCH(A3, 'Payroll Mar 2026'!$8:$8, 0), 4), "1", "")</f>
        <v>X</v>
      </c>
      <c r="D3" s="61">
        <v>110</v>
      </c>
      <c r="E3" s="62" t="s">
        <v>342</v>
      </c>
      <c r="F3" s="62"/>
      <c r="G3" s="62" t="s">
        <v>347</v>
      </c>
      <c r="H3" s="62" t="s">
        <v>348</v>
      </c>
      <c r="I3" s="277"/>
      <c r="K3" s="488"/>
      <c r="Q3" s="68" t="s">
        <v>349</v>
      </c>
      <c r="R3" s="68" t="s">
        <v>350</v>
      </c>
      <c r="S3" s="68" t="s">
        <v>351</v>
      </c>
      <c r="T3" s="68" t="s">
        <v>352</v>
      </c>
      <c r="U3" t="inlineStr">
        <is>
          <t>SI_CAP</t>
        </is>
      </c>
      <c r="V3">
        <v>50600000</v>
      </c>
      <c r="W3" t="inlineStr">
        <is>
          <t>Trần lương đóng BHXH/BHYT/TNLĐ = 50.600.000 (số chuẩn HR xác nhận) — dùng cho r19,71,73,104,106,108</t>
        </is>
      </c>
    </row>
    <row r="4" spans="1:18">
      <c r="A4" s="62" t="s">
        <v>353</v>
      </c>
      <c r="B4" s="501" t="s">
        <v>346</v>
      </c>
      <c r="C4" s="501" t="str">
        <f>SUBSTITUTE(ADDRESS(1, MATCH(A4, 'Payroll Mar 2026'!$8:$8, 0), 4), "1", "")</f>
        <v>Y</v>
      </c>
      <c r="D4" s="61">
        <v>120</v>
      </c>
      <c r="E4" s="62" t="s">
        <v>342</v>
      </c>
      <c r="F4" s="62"/>
      <c r="G4" s="62" t="s">
        <v>347</v>
      </c>
      <c r="H4" s="62" t="s">
        <v>354</v>
      </c>
      <c r="I4" s="277"/>
      <c r="K4" s="488"/>
      <c r="Q4" s="562" t="s">
        <v>331</v>
      </c>
      <c r="R4" s="565" t="s">
        <v>342</v>
      </c>
      <c r="S4" s="520" t="s">
        <v>355</v>
      </c>
      <c r="T4" s="521"/>
      <c r="U4" t="inlineStr">
        <is>
          <t>HI_CAP (BỎ)</t>
        </is>
      </c>
      <c r="W4" t="inlineStr">
        <is>
          <t>Đã gộp vào SI_CAP 50.6M — không dùng riêng trần 46.8M nữa</t>
        </is>
      </c>
    </row>
    <row r="5" spans="1:18">
      <c r="A5" s="62" t="s">
        <v>356</v>
      </c>
      <c r="B5" s="501"/>
      <c r="C5" s="501" t="e">
        <f>SUBSTITUTE(ADDRESS(1, MATCH(A5, 'Payroll Mar 2026'!$8:$8, 0), 4), "1", "")</f>
        <v>#N/A</v>
      </c>
      <c r="D5" s="61">
        <v>125</v>
      </c>
      <c r="E5" s="62" t="s">
        <v>357</v>
      </c>
      <c r="F5" s="62"/>
      <c r="G5" s="62"/>
      <c r="H5" s="62" t="s">
        <v>358</v>
      </c>
      <c r="I5" s="277"/>
      <c r="K5" s="488"/>
      <c r="Q5" s="566"/>
      <c r="R5" s="554"/>
      <c r="S5" s="518" t="s">
        <v>347</v>
      </c>
      <c r="T5" s="522"/>
      <c r="U5" t="inlineStr">
        <is>
          <t>UI_CAP</t>
        </is>
      </c>
      <c r="V5">
        <v>106200000</v>
      </c>
      <c r="W5" t="inlineStr">
        <is>
          <t>Trần lương đóng BHTN = 20x LTT vùng I (5.310.000)</t>
        </is>
      </c>
    </row>
    <row r="6" spans="1:18">
      <c r="A6" s="62" t="s">
        <v>359</v>
      </c>
      <c r="B6" s="501" t="s">
        <v>346</v>
      </c>
      <c r="C6" s="501" t="str">
        <f>SUBSTITUTE(ADDRESS(1, MATCH(A6, 'Payroll Mar 2026'!$8:$8, 0), 4), "1", "")</f>
        <v>Z</v>
      </c>
      <c r="D6" s="61">
        <v>130</v>
      </c>
      <c r="E6" s="62" t="s">
        <v>342</v>
      </c>
      <c r="F6" s="62"/>
      <c r="G6" s="62" t="s">
        <v>347</v>
      </c>
      <c r="H6" s="62" t="s">
        <v>360</v>
      </c>
      <c r="I6" s="277"/>
      <c r="K6" s="488"/>
      <c r="Q6" s="566"/>
      <c r="R6" s="554"/>
      <c r="S6" s="518" t="s">
        <v>361</v>
      </c>
      <c r="T6" s="522"/>
      <c r="U6" t="inlineStr">
        <is>
          <t>MEAL_RATE</t>
        </is>
      </c>
      <c r="V6">
        <v>45000</v>
      </c>
      <c r="W6" t="inlineStr">
        <is>
          <t>Đơn giá tiền ăn mỗi suất/ngày công</t>
        </is>
      </c>
    </row>
    <row r="7" spans="1:18">
      <c r="A7" s="62" t="s">
        <v>362</v>
      </c>
      <c r="B7" s="501" t="s">
        <v>346</v>
      </c>
      <c r="C7" s="501" t="str">
        <f>SUBSTITUTE(ADDRESS(1, MATCH(A7, 'Payroll Mar 2026'!$8:$8, 0), 4), "1", "")</f>
        <v>AA</v>
      </c>
      <c r="D7" s="61">
        <v>135</v>
      </c>
      <c r="E7" s="62" t="s">
        <v>342</v>
      </c>
      <c r="F7" s="62"/>
      <c r="G7" s="62" t="s">
        <v>347</v>
      </c>
      <c r="H7" s="62" t="s">
        <v>363</v>
      </c>
      <c r="I7" s="277"/>
      <c r="K7" s="488"/>
      <c r="Q7" s="566"/>
      <c r="R7" s="554"/>
      <c r="S7" s="518" t="s">
        <v>364</v>
      </c>
      <c r="T7" s="522"/>
      <c r="U7" t="inlineStr">
        <is>
          <t>MEAL_NONTAX_CAP</t>
        </is>
      </c>
      <c r="V7">
        <v>1200000</v>
      </c>
      <c r="W7" t="inlineStr">
        <is>
          <t>Trần tiền ăn giữa ca miễn thuế TNCN/tháng</t>
        </is>
      </c>
    </row>
    <row r="8" spans="1:18">
      <c r="A8" s="62" t="s">
        <v>365</v>
      </c>
      <c r="B8" s="501" t="s">
        <v>346</v>
      </c>
      <c r="C8" s="501" t="str">
        <f>SUBSTITUTE(ADDRESS(1, MATCH(A8, 'Payroll Mar 2026'!$8:$8, 0), 4), "1", "")</f>
        <v>AB</v>
      </c>
      <c r="D8" s="61">
        <v>137</v>
      </c>
      <c r="E8" s="62" t="s">
        <v>342</v>
      </c>
      <c r="F8" s="62"/>
      <c r="G8" s="62" t="s">
        <v>347</v>
      </c>
      <c r="H8" s="62" t="s">
        <v>366</v>
      </c>
      <c r="I8" s="277"/>
      <c r="K8" s="488"/>
      <c r="Q8" s="566"/>
      <c r="R8" s="506" t="s">
        <v>357</v>
      </c>
      <c r="S8" s="506" t="s">
        <v>367</v>
      </c>
      <c r="T8" s="522"/>
      <c r="U8" t="inlineStr">
        <is>
          <t>PERSONAL_DED_AMT</t>
        </is>
      </c>
      <c r="V8">
        <v>15500000</v>
      </c>
      <c r="W8" t="inlineStr">
        <is>
          <t>Giảm trừ bản thân/tháng (nhánh chính thức; thử việc cần HR xác nhận)</t>
        </is>
      </c>
    </row>
    <row r="9" spans="1:18">
      <c r="A9" s="62" t="s">
        <v>368</v>
      </c>
      <c r="B9" s="501"/>
      <c r="C9" s="501" t="e">
        <f>SUBSTITUTE(ADDRESS(1, MATCH(A9, 'Payroll Mar 2026'!$8:$8, 0), 4), "1", "")</f>
        <v>#N/A</v>
      </c>
      <c r="D9" s="61">
        <v>140</v>
      </c>
      <c r="E9" s="62" t="s">
        <v>342</v>
      </c>
      <c r="F9" s="62"/>
      <c r="G9" s="62" t="s">
        <v>347</v>
      </c>
      <c r="H9" s="62" t="s">
        <v>369</v>
      </c>
      <c r="I9" s="277"/>
      <c r="K9" s="488"/>
      <c r="Q9" s="567"/>
      <c r="R9" s="525" t="s">
        <v>370</v>
      </c>
      <c r="S9" s="526" t="s">
        <v>371</v>
      </c>
      <c r="T9" s="527"/>
      <c r="U9" t="inlineStr">
        <is>
          <t>DEPENDENT_DED</t>
        </is>
      </c>
      <c r="V9">
        <v>6200000</v>
      </c>
      <c r="W9" t="inlineStr">
        <is>
          <t>Giảm trừ mỗi người phụ thuộc/tháng</t>
        </is>
      </c>
    </row>
    <row r="10" spans="1:18">
      <c r="A10" s="62" t="s">
        <v>372</v>
      </c>
      <c r="B10" s="501" t="s">
        <v>346</v>
      </c>
      <c r="C10" s="501" t="str">
        <f>SUBSTITUTE(ADDRESS(1, MATCH(A10, 'Payroll Mar 2026'!$8:$8, 0), 4), "1", "")</f>
        <v>AE</v>
      </c>
      <c r="D10" s="61">
        <v>145</v>
      </c>
      <c r="E10" s="62" t="s">
        <v>342</v>
      </c>
      <c r="F10" s="62"/>
      <c r="G10" s="62" t="s">
        <v>347</v>
      </c>
      <c r="H10" s="62" t="s">
        <v>373</v>
      </c>
      <c r="I10" s="277"/>
      <c r="K10" s="488"/>
      <c r="Q10" s="562" t="s">
        <v>332</v>
      </c>
      <c r="R10" s="519" t="b">
        <v>1</v>
      </c>
      <c r="S10" s="519" t="s">
        <v>374</v>
      </c>
      <c r="T10" s="521"/>
      <c r="U10" t="inlineStr">
        <is>
          <t>UNION_FEE_RATE</t>
        </is>
      </c>
      <c r="V10">
        <v>0.005</v>
      </c>
      <c r="W10" t="inlineStr">
        <is>
          <t>Đoàn phí công đoàn NLĐ (0.5%)</t>
        </is>
      </c>
    </row>
    <row r="11" spans="1:18">
      <c r="A11" s="62" t="s">
        <v>375</v>
      </c>
      <c r="B11" s="501" t="s">
        <v>346</v>
      </c>
      <c r="C11" s="501" t="str">
        <f>SUBSTITUTE(ADDRESS(1, MATCH(A11, 'Payroll Mar 2026'!$8:$8, 0), 4), "1", "")</f>
        <v>AF</v>
      </c>
      <c r="D11" s="61">
        <v>150</v>
      </c>
      <c r="E11" s="62" t="s">
        <v>342</v>
      </c>
      <c r="F11" s="62"/>
      <c r="G11" s="62" t="s">
        <v>347</v>
      </c>
      <c r="H11" s="62" t="s">
        <v>376</v>
      </c>
      <c r="I11" s="277"/>
      <c r="K11" s="488"/>
      <c r="Q11" s="567"/>
      <c r="R11" s="525" t="b">
        <v>0</v>
      </c>
      <c r="S11" s="525" t="s">
        <v>377</v>
      </c>
      <c r="T11" s="527"/>
      <c r="U11" t="inlineStr">
        <is>
          <t>UNION_FEE_MAX</t>
        </is>
      </c>
      <c r="V11">
        <v>253000</v>
      </c>
      <c r="W11" t="inlineStr">
        <is>
          <t>Trần đoàn phí công đoàn NLĐ/tháng</t>
        </is>
      </c>
    </row>
    <row r="12" spans="1:18">
      <c r="A12" s="62" t="s">
        <v>378</v>
      </c>
      <c r="B12" s="501" t="s">
        <v>346</v>
      </c>
      <c r="C12" s="501" t="str">
        <f>SUBSTITUTE(ADDRESS(1, MATCH(A12, 'Payroll Mar 2026'!$8:$8, 0), 4), "1", "")</f>
        <v>AG</v>
      </c>
      <c r="D12" s="61">
        <v>155</v>
      </c>
      <c r="E12" s="62" t="s">
        <v>342</v>
      </c>
      <c r="F12" s="62"/>
      <c r="G12" s="62" t="s">
        <v>347</v>
      </c>
      <c r="H12" s="62" t="s">
        <v>379</v>
      </c>
      <c r="I12" s="277"/>
      <c r="K12" s="488"/>
      <c r="Q12" s="562" t="s">
        <v>329</v>
      </c>
      <c r="R12" s="519" t="e">
        <v>#N/A</v>
      </c>
      <c r="S12" s="519" t="s">
        <v>380</v>
      </c>
      <c r="T12" s="521"/>
      <c r="U12" t="inlineStr">
        <is>
          <t>SI_EMP_RATE</t>
        </is>
      </c>
      <c r="V12">
        <v>0.08</v>
      </c>
      <c r="W12" t="inlineStr">
        <is>
          <t>BHXH người lao động (8%)</t>
        </is>
      </c>
    </row>
    <row r="13" spans="1:18">
      <c r="A13" s="62" t="s">
        <v>381</v>
      </c>
      <c r="B13" s="501"/>
      <c r="C13" s="501" t="e">
        <f>SUBSTITUTE(ADDRESS(1, MATCH(A13, 'Payroll Mar 2026'!$8:$8, 0), 4), "1", "")</f>
        <v>#N/A</v>
      </c>
      <c r="D13" s="61">
        <v>158</v>
      </c>
      <c r="E13" s="62" t="s">
        <v>342</v>
      </c>
      <c r="F13" s="62"/>
      <c r="G13" s="62"/>
      <c r="H13" s="62" t="s">
        <v>382</v>
      </c>
      <c r="I13" s="277"/>
      <c r="K13" s="488"/>
      <c r="Q13" s="567"/>
      <c r="R13" s="525" t="s">
        <v>383</v>
      </c>
      <c r="S13" s="525" t="s">
        <v>384</v>
      </c>
      <c r="T13" s="527"/>
      <c r="U13" t="inlineStr">
        <is>
          <t>HI_EMP_RATE</t>
        </is>
      </c>
      <c r="V13">
        <v>0.015</v>
      </c>
      <c r="W13" t="inlineStr">
        <is>
          <t>BHYT người lao động (1.5%)</t>
        </is>
      </c>
    </row>
    <row r="14" spans="1:18" ht="129.75" customHeight="1">
      <c r="A14" s="62" t="s">
        <v>385</v>
      </c>
      <c r="B14" s="501" t="s">
        <v>386</v>
      </c>
      <c r="C14" s="501" t="str">
        <f>SUBSTITUTE(ADDRESS(1, MATCH(A14, 'Payroll Mar 2026'!$8:$8, 0), 4), "1", "")</f>
        <v>AI</v>
      </c>
      <c r="D14" s="61">
        <v>190</v>
      </c>
      <c r="E14" s="62" t="s">
        <v>357</v>
      </c>
      <c r="F14" s="62"/>
      <c r="G14" s="62"/>
      <c r="H14" s="62" t="s">
        <v>387</v>
      </c>
      <c r="I14" s="276" t="s">
        <v>388</v>
      </c>
      <c r="J14" s="276" t="inlineStr">
        <is>
          <t>IF([CONTRACT_TYPE]="Chính thức", [OFFICIAL_DAYS], [PROB_DAYS]) + [HOLIDAY_DAYS] + [PAID_LEAVE_DAYS] + [COMP_DAYS] + [REGIME_DAYS] + [SI_DAYS] + [ADJ_DAYS]</t>
        </is>
      </c>
      <c r="K14" s="529" t="s">
        <v>389</v>
      </c>
      <c r="L14" t="inlineStr">
        <is>
          <t>K phân 2 nhánh HĐ: Chính thức dùng "Ngày thực tế SAU thử việc"; Thử việc dùng "Ngày thực tế THỬ VIỆC". J gộp 1 CT + dư SI_DAYS/ADJ_DAYS → cần tách 2 nhánh.</t>
        </is>
      </c>
      <c r="M14" t="s">
        <v>390</v>
      </c>
      <c r="Q14" s="562" t="s">
        <v>391</v>
      </c>
      <c r="R14" s="519" t="b">
        <v>1</v>
      </c>
      <c r="S14" s="519" t="s">
        <v>392</v>
      </c>
      <c r="T14" s="521"/>
      <c r="U14" t="inlineStr">
        <is>
          <t>UI_EMP_RATE</t>
        </is>
      </c>
      <c r="V14">
        <v>0.01</v>
      </c>
      <c r="W14" t="inlineStr">
        <is>
          <t>BHTN người lao động (1%)</t>
        </is>
      </c>
    </row>
    <row r="15" spans="1:18">
      <c r="A15" s="62" t="s">
        <v>393</v>
      </c>
      <c r="B15" s="501" t="s">
        <v>394</v>
      </c>
      <c r="C15" s="501" t="str">
        <f>SUBSTITUTE(ADDRESS(1, MATCH(A15, 'Payroll Mar 2026'!$8:$8, 0), 4), "1", "")</f>
        <v>Q</v>
      </c>
      <c r="D15" s="61"/>
      <c r="E15" s="62" t="s">
        <v>342</v>
      </c>
      <c r="F15" s="62"/>
      <c r="G15" s="62" t="s">
        <v>325</v>
      </c>
      <c r="H15" s="62" t="s">
        <v>395</v>
      </c>
      <c r="I15" s="276"/>
      <c r="K15" s="442"/>
      <c r="Q15" s="563"/>
      <c r="R15" s="523" t="b">
        <v>0</v>
      </c>
      <c r="S15" s="523" t="s">
        <v>396</v>
      </c>
      <c r="T15" s="524"/>
      <c r="U15" t="inlineStr">
        <is>
          <t>SI_ER_RATE</t>
        </is>
      </c>
      <c r="V15">
        <v>0.17</v>
      </c>
      <c r="W15" t="inlineStr">
        <is>
          <t>BHXH doanh nghiệp (17%)</t>
        </is>
      </c>
    </row>
    <row r="16" spans="1:18">
      <c r="A16" s="62" t="s">
        <v>397</v>
      </c>
      <c r="B16" s="501" t="s">
        <v>394</v>
      </c>
      <c r="C16" s="501" t="str">
        <f>SUBSTITUTE(ADDRESS(1, MATCH(A16, 'Payroll Mar 2026'!$8:$8, 0), 4), "1", "")</f>
        <v>R</v>
      </c>
      <c r="D16" s="61">
        <v>200</v>
      </c>
      <c r="E16" s="62" t="s">
        <v>342</v>
      </c>
      <c r="F16" s="62"/>
      <c r="G16" s="62" t="s">
        <v>325</v>
      </c>
      <c r="H16" s="62" t="s">
        <v>398</v>
      </c>
      <c r="I16" s="277"/>
      <c r="K16" s="488"/>
      <c r="U16" t="inlineStr">
        <is>
          <t>TNLD_ER_RATE</t>
        </is>
      </c>
      <c r="V16">
        <v>0.005</v>
      </c>
      <c r="W16" t="inlineStr">
        <is>
          <t>BH TNLĐ-BNN doanh nghiệp (0.5%)</t>
        </is>
      </c>
    </row>
    <row r="17" spans="1:15">
      <c r="A17" s="62" t="s">
        <v>399</v>
      </c>
      <c r="B17" s="501" t="s">
        <v>394</v>
      </c>
      <c r="C17" s="501" t="str">
        <f>SUBSTITUTE(ADDRESS(1, MATCH(A17, 'Payroll Mar 2026'!$8:$8, 0), 4), "1", "")</f>
        <v>S</v>
      </c>
      <c r="D17" s="61">
        <v>210</v>
      </c>
      <c r="E17" s="62" t="s">
        <v>342</v>
      </c>
      <c r="F17" s="62"/>
      <c r="G17" s="62" t="s">
        <v>361</v>
      </c>
      <c r="H17" s="62" t="s">
        <v>400</v>
      </c>
      <c r="I17" s="277"/>
      <c r="K17" s="488"/>
      <c r="U17" t="inlineStr">
        <is>
          <t>HI_ER_RATE</t>
        </is>
      </c>
      <c r="V17">
        <v>0.03</v>
      </c>
      <c r="W17" t="inlineStr">
        <is>
          <t>BHYT doanh nghiệp (3%)</t>
        </is>
      </c>
    </row>
    <row r="18" spans="1:15" ht="69" customHeight="1">
      <c r="A18" s="623" t="s">
        <v>401</v>
      </c>
      <c r="B18" s="624" t="s">
        <v>402</v>
      </c>
      <c r="C18" s="624" t="str">
        <f>SUBSTITUTE(ADDRESS(1, MATCH(A18, 'Payroll Mar 2026'!$8:$8, 0), 4), "1", "")</f>
        <v>T</v>
      </c>
      <c r="D18" s="625">
        <v>220</v>
      </c>
      <c r="E18" s="623" t="s">
        <v>357</v>
      </c>
      <c r="F18" s="623"/>
      <c r="G18" s="623"/>
      <c r="H18" s="623" t="s">
        <v>403</v>
      </c>
      <c r="I18" s="626" t="s">
        <v>404</v>
      </c>
      <c r="J18" s="276" t="inlineStr">
        <is>
          <t>IF([CONTRACT_TYPE]="Chính thức", [BASIC_SAL] + [RESP_SAL], [PROB_SAL])</t>
        </is>
      </c>
      <c r="K18" s="627" t="s">
        <v>405</v>
      </c>
      <c r="L18" t="inlineStr">
        <is>
          <t>2 CT: Chính thức = BASIC_SAL(100%) + RESPONSIBILITY_ALLOW; Thử việc = PROB_SAL(85%). J chỉ có nhánh chính thức.</t>
        </is>
      </c>
      <c s="628" r="M18" t="s">
        <v>390</v>
      </c>
      <c r="U18" t="inlineStr">
        <is>
          <t>UI_ER_RATE</t>
        </is>
      </c>
      <c r="V18">
        <v>0.01</v>
      </c>
      <c r="W18" t="inlineStr">
        <is>
          <t>BHTN doanh nghiệp (1%)</t>
        </is>
      </c>
    </row>
    <row r="19" spans="1:15" ht="57">
      <c r="A19" s="623" t="s">
        <v>406</v>
      </c>
      <c r="B19" s="624"/>
      <c r="C19" s="624" t="str">
        <f>SUBSTITUTE(ADDRESS(1, MATCH(A19, 'Payroll Mar 2026'!$8:$8, 0), 4), "1", "")</f>
        <v>U</v>
      </c>
      <c r="D19" s="625">
        <v>300</v>
      </c>
      <c r="E19" s="623" t="s">
        <v>357</v>
      </c>
      <c r="F19" s="623"/>
      <c r="G19" s="623"/>
      <c r="H19" s="623" t="s">
        <v>407</v>
      </c>
      <c r="I19" s="626" t="s">
        <v>408</v>
      </c>
      <c r="J19" s="276" t="inlineStr">
        <is>
          <t>IF(AND([CONTRACT_TYPE]="Chính thức", [HAS_SECOND_CONTRACT]=FALSE), MIN([BASIC_SAL], [SI_CAP]), 0)</t>
        </is>
      </c>
      <c r="K19" s="629" t="s">
        <v>409</v>
      </c>
      <c r="L19" t="inlineStr">
        <is>
          <t>2 CT: Chính thức = MIN(BASIC_SAL, 50.600.000); Thử việc = 0. LOẠI TRỪ: NV có HĐ 2 nơi → 0 (K row19). Người nước ngoài VẪN đóng BHXH/BHYT.</t>
        </is>
      </c>
      <c s="628" r="M19" t="s">
        <v>390</v>
      </c>
      <c r="Q19" s="630" t="s">
        <v>410</v>
      </c>
      <c r="U19" t="inlineStr">
        <is>
          <t>KPCD_RATE</t>
        </is>
      </c>
      <c r="V19">
        <v>0.02</v>
      </c>
      <c r="W19" t="inlineStr">
        <is>
          <t>Kinh phí công đoàn doanh nghiệp (2%)</t>
        </is>
      </c>
    </row>
    <row r="20" spans="1:15" ht="61.5" customHeight="1">
      <c r="A20" s="623" t="s">
        <v>411</v>
      </c>
      <c r="B20" s="624"/>
      <c r="C20" s="624" t="str">
        <f>SUBSTITUTE(ADDRESS(1, MATCH(A20, 'Payroll Mar 2026'!$8:$8, 0), 4), "1", "")</f>
        <v>V</v>
      </c>
      <c r="D20" s="625">
        <v>310</v>
      </c>
      <c r="E20" s="623" t="s">
        <v>357</v>
      </c>
      <c r="F20" s="623"/>
      <c r="G20" s="623"/>
      <c r="H20" s="623" t="s">
        <v>412</v>
      </c>
      <c r="I20" s="626" t="s">
        <v>413</v>
      </c>
      <c r="J20" s="276" t="inlineStr">
        <is>
          <t>IF(AND([CONTRACT_TYPE]="Chính thức", [IS_FOREIGNER]=FALSE, [HAS_SECOND_CONTRACT]=FALSE), MIN([BASIC_SAL], [UI_CAP]), 0)</t>
        </is>
      </c>
      <c r="K20" s="627" t="s">
        <v>414</v>
      </c>
      <c r="L20" t="inlineStr">
        <is>
          <t>BHTN: Chính thức = MIN(BASIC_SAL, 106.200.000); Thử việc = 0. LOẠI TRỪ: người nước ngoài = 0 (expat không đóng BHTN) VÀ NV có HĐ 2 nơi = 0 (K row20).</t>
        </is>
      </c>
      <c s="628" r="M20" t="s">
        <v>390</v>
      </c>
      <c r="U20" t="inlineStr">
        <is>
          <t>HAS_TERMINATION</t>
        </is>
      </c>
      <c r="V20" t="inlineStr">
        <is>
          <t>(input)</t>
        </is>
      </c>
      <c r="W20" t="inlineStr">
        <is>
          <t>Cờ chấm dứt HĐ trong kỳ (TRUE/FALSE) — chặn trích trước thưởng</t>
        </is>
      </c>
    </row>
    <row r="21" spans="1:15" ht="43">
      <c r="A21" s="62" t="s">
        <v>415</v>
      </c>
      <c r="B21" s="501" t="s">
        <v>416</v>
      </c>
      <c r="C21" s="501" t="str">
        <f>SUBSTITUTE(ADDRESS(1, MATCH(A21, 'Payroll Mar 2026'!$8:$8, 0), 4), "1", "")</f>
        <v>AJ</v>
      </c>
      <c r="D21" s="61">
        <v>400</v>
      </c>
      <c r="E21" s="62" t="s">
        <v>357</v>
      </c>
      <c r="F21" s="62"/>
      <c r="G21" s="62"/>
      <c r="H21" s="62" t="s">
        <v>417</v>
      </c>
      <c r="I21" s="276" t="s">
        <v>418</v>
      </c>
      <c r="J21" s="276" t="inlineStr">
        <is>
          <t>IF([CONTRACT_TYPE]="Thử việc", ROUND([PROB_SAL] / [STD_DAYS] * [PAID_DAYS], 0), 0)</t>
        </is>
      </c>
      <c r="K21" s="442" t="s">
        <v>419</v>
      </c>
      <c r="L21" t="inlineStr">
        <is>
          <t>2 CT: Thử việc = ROUND(PROB_SAL/STD_DAYS × PAID_DAYS); Chính thức = 0. J thiếu ROUND + thiếu nhánh =0.</t>
        </is>
      </c>
      <c r="M21" t="s">
        <v>420</v>
      </c>
      <c r="Q21" t="s">
        <v>421</v>
      </c>
      <c r="U21" t="inlineStr">
        <is>
          <t>PAID_LEAVE_BALANCE_DAYS</t>
        </is>
      </c>
      <c r="V21" t="inlineStr">
        <is>
          <t>(input)</t>
        </is>
      </c>
      <c r="W21" t="inlineStr">
        <is>
          <t>Số ngày phép tồn — tính lương phép tồn (r25)</t>
        </is>
      </c>
    </row>
    <row r="22" spans="1:15" ht="43">
      <c r="A22" s="62" t="s">
        <v>422</v>
      </c>
      <c r="B22" s="501" t="s">
        <v>416</v>
      </c>
      <c r="C22" s="501" t="str">
        <f>SUBSTITUTE(ADDRESS(1, MATCH(A22, 'Payroll Mar 2026'!$8:$8, 0), 4), "1", "")</f>
        <v>AK</v>
      </c>
      <c r="D22" s="61">
        <v>410</v>
      </c>
      <c r="E22" s="62" t="s">
        <v>357</v>
      </c>
      <c r="F22" s="62"/>
      <c r="G22" s="62"/>
      <c r="H22" s="62" t="s">
        <v>423</v>
      </c>
      <c r="I22" s="485" t="s">
        <v>424</v>
      </c>
      <c r="J22" s="276" t="inlineStr">
        <is>
          <t>IF([CONTRACT_TYPE]="Chính thức", ROUND([BASIC_SAL] / [STD_DAYS] * [PAID_DAYS], 0), 0)</t>
        </is>
      </c>
      <c r="K22" s="442" t="s">
        <v>425</v>
      </c>
      <c r="L22" t="inlineStr">
        <is>
          <t>2 CT: Chính thức = ROUND(BASIC_SAL/STD_DAYS × PAID_DAYS); Thử việc = 0. J thiếu ROUND.</t>
        </is>
      </c>
      <c r="M22" t="s">
        <v>420</v>
      </c>
      <c r="Q22" s="5" t="s">
        <v>426</v>
      </c>
      <c r="U22" t="inlineStr">
        <is>
          <t>BONUS_SAVE_TRAVEL_AMT</t>
        </is>
      </c>
      <c r="V22">
        <v>10000000</v>
      </c>
      <c r="W22" t="inlineStr">
        <is>
          <t>Mức thưởng du lịch/năm để trích trước (r119 = /12)</t>
        </is>
      </c>
    </row>
    <row r="23" spans="1:15" ht="29">
      <c r="A23" s="62" t="s">
        <v>427</v>
      </c>
      <c r="B23" s="501" t="s">
        <v>416</v>
      </c>
      <c r="C23" s="501" t="str">
        <f>SUBSTITUTE(ADDRESS(1, MATCH(A23, 'Payroll Mar 2026'!$8:$8, 0), 4), "1", "")</f>
        <v>AL</v>
      </c>
      <c r="D23" s="61">
        <v>420</v>
      </c>
      <c r="E23" s="62" t="s">
        <v>357</v>
      </c>
      <c r="F23" s="62"/>
      <c r="G23" s="62"/>
      <c r="H23" s="62" t="s">
        <v>428</v>
      </c>
      <c r="I23" s="276" t="s">
        <v>429</v>
      </c>
      <c r="J23" s="276" t="inlineStr">
        <is>
          <t>ROUND([PAID_DAYS] * [RESP_SAL] / [STD_DAYS], 0)</t>
        </is>
      </c>
      <c r="K23" s="442" t="s">
        <v>430</v>
      </c>
      <c r="M23" t="s">
        <v>420</v>
      </c>
      <c r="Q23" s="5" t="s">
        <v>431</v>
      </c>
      <c r="U23" t="inlineStr">
        <is>
          <t>BONUS_SAVE_TET_CAP</t>
        </is>
      </c>
      <c r="V23">
        <v>15000000</v>
      </c>
      <c r="W23" t="inlineStr">
        <is>
          <t>Trần lương tháng 13/Tết để trích trước (r125)</t>
        </is>
      </c>
    </row>
    <row r="24" spans="1:15" ht="48">
      <c r="A24" s="631" t="s">
        <v>432</v>
      </c>
      <c r="B24" s="632" t="s">
        <v>433</v>
      </c>
      <c r="C24" s="632" t="str">
        <f>SUBSTITUTE(ADDRESS(1, MATCH(A24, 'Payroll Mar 2026'!$8:$8, 0), 4), "1", "")</f>
        <v>AN</v>
      </c>
      <c r="D24" s="633">
        <v>490</v>
      </c>
      <c r="E24" s="631" t="s">
        <v>357</v>
      </c>
      <c r="F24" s="631"/>
      <c r="G24" s="631"/>
      <c r="H24" s="631" t="s">
        <v>434</v>
      </c>
      <c r="I24" s="634" t="s">
        <v>435</v>
      </c>
      <c r="J24" s="276" t="inlineStr">
        <is>
          <t>ROUND([PROB_EARNED] + [OFFICIAL_EARNED] + [RESP_EARNED] + [EARNED_PAID_LEAVE], 0)</t>
        </is>
      </c>
      <c r="K24" s="635" t="s">
        <v>436</v>
      </c>
      <c r="L24" t="inlineStr">
        <is>
          <t>K = ROUND(PROB_EARNED + OFFICIAL_EARNED + RESP_EARNED + [EARNED_PAID_LEAVE]). J THIẾU "Lương phép tồn" (r25) + thiếu ROUND.</t>
        </is>
      </c>
      <c r="Q24" s="636" t="s">
        <v>437</v>
      </c>
      <c r="U24" t="inlineStr">
        <is>
          <t>IS_EXPAT_NO_WP</t>
        </is>
      </c>
      <c r="V24" t="inlineStr">
        <is>
          <t>(input)</t>
        </is>
      </c>
      <c r="W24" t="inlineStr">
        <is>
          <t>TRUE nếu người nước ngoài KHÔNG có work permit → PIT = 20% × TNTT</t>
        </is>
      </c>
    </row>
    <row r="25" spans="1:15" ht="32">
      <c r="A25" s="62" t="s">
        <v>438</v>
      </c>
      <c r="B25" s="501"/>
      <c r="C25" s="501" t="str">
        <f>SUBSTITUTE(ADDRESS(1, MATCH(A25, 'Payroll Mar 2026'!$8:$8, 0), 4), "1", "")</f>
        <v>AM</v>
      </c>
      <c r="D25" s="61"/>
      <c r="E25" s="62" t="s">
        <v>357</v>
      </c>
      <c r="F25" s="62"/>
      <c r="G25" s="62"/>
      <c r="H25" s="62" t="s">
        <v>439</v>
      </c>
      <c r="I25" s="276"/>
      <c r="J25" s="276" t="inlineStr">
        <is>
          <t>IF([CONTRACT_TYPE]="Chính thức", ROUND([PAID_LEAVE_BALANCE_DAYS] / [STD_DAYS] * [BASIC_SAL], 0), 0)</t>
        </is>
      </c>
      <c r="K25" s="539" t="s">
        <v>440</v>
      </c>
      <c r="L25" t="inlineStr">
        <is>
          <t>K: ngày phép tồn / công chuẩn × mức lương, CHỈ NV chính thức. Cần biến [PAID_LEAVE_BALANCE_DAYS] (input).</t>
        </is>
      </c>
      <c r="N25" s="5"/>
      <c r="Q25"/>
      <c r="U25" t="inlineStr">
        <is>
          <t>EMP_TYPE</t>
        </is>
      </c>
      <c r="V25" t="inlineStr">
        <is>
          <t>(input)</t>
        </is>
      </c>
      <c r="W25" t="inlineStr">
        <is>
          <t>Loại NV: "Intern"/"Chính thức"… — chọn nhánh tính PIT</t>
        </is>
      </c>
    </row>
    <row r="26" spans="1:15" ht="64">
      <c r="A26" s="62" t="s">
        <v>441</v>
      </c>
      <c r="B26" s="501"/>
      <c r="C26" s="501" t="e">
        <f>SUBSTITUTE(ADDRESS(1, MATCH(A26, 'Payroll Mar 2026'!$8:$8, 0), 4), "1", "")</f>
        <v>#N/A</v>
      </c>
      <c r="D26" s="61">
        <v>500</v>
      </c>
      <c r="E26" s="62" t="s">
        <v>342</v>
      </c>
      <c r="F26" s="62"/>
      <c r="G26" s="62" t="s">
        <v>442</v>
      </c>
      <c r="H26" s="62" t="s">
        <v>443</v>
      </c>
      <c r="I26" s="277"/>
      <c r="K26" s="497" t="s">
        <v>444</v>
      </c>
      <c r="L26" t="inlineStr">
        <is>
          <t>K: WD không trả cơm bữa — đếm bằng tổng ngày Regular time tracking=1. Dạng input dẫn xuất từ WD.</t>
        </is>
      </c>
      <c r="Q26" s="5" t="s">
        <v>445</v>
      </c>
      <c r="U26" t="inlineStr">
        <is>
          <t>HAS_TAX_COMMITMENT</t>
        </is>
      </c>
      <c r="V26" t="inlineStr">
        <is>
          <t>(input)</t>
        </is>
      </c>
      <c r="W26" t="inlineStr">
        <is>
          <t>Intern có giấy cam kết thuế (TRUE) → PIT = 0</t>
        </is>
      </c>
    </row>
    <row r="27" spans="1:15" ht="32">
      <c r="A27" s="62" t="s">
        <v>446</v>
      </c>
      <c r="B27" s="501"/>
      <c r="C27" s="501" t="e">
        <f>SUBSTITUTE(ADDRESS(1, MATCH(A27, 'Payroll Mar 2026'!$8:$8, 0), 4), "1", "")</f>
        <v>#N/A</v>
      </c>
      <c r="D27" s="61">
        <v>501</v>
      </c>
      <c r="E27" s="62" t="s">
        <v>342</v>
      </c>
      <c r="F27" s="62"/>
      <c r="G27" s="62" t="s">
        <v>361</v>
      </c>
      <c r="H27" s="62" t="s">
        <v>447</v>
      </c>
      <c r="I27" s="277"/>
      <c r="K27" s="497" t="s">
        <v>448</v>
      </c>
      <c r="L27" t="inlineStr">
        <is>
          <t>K: cơm tăng ca lấy trực tiếp từ WD. Input.</t>
        </is>
      </c>
      <c r="Q27" s="531" t="s">
        <v>449</v>
      </c>
      <c r="U27" t="inlineStr">
        <is>
          <t>IS_FOREIGNER</t>
        </is>
      </c>
      <c r="V27" t="inlineStr">
        <is>
          <t>(input)</t>
        </is>
      </c>
      <c r="W27" t="inlineStr">
        <is>
          <t>TRUE nếu người nước ngoài → không đóng BHTN (r20)</t>
        </is>
      </c>
    </row>
    <row r="28" spans="1:15">
      <c r="A28" s="62" t="s">
        <v>450</v>
      </c>
      <c r="B28" s="501"/>
      <c r="C28" s="501" t="e">
        <f>SUBSTITUTE(ADDRESS(1, MATCH(A28, 'Payroll Mar 2026'!$8:$8, 0), 4), "1", "")</f>
        <v>#N/A</v>
      </c>
      <c r="D28" s="61">
        <v>502</v>
      </c>
      <c r="E28" s="62" t="s">
        <v>357</v>
      </c>
      <c r="F28" s="62"/>
      <c r="G28" s="62"/>
      <c r="H28" s="62" t="s">
        <v>451</v>
      </c>
      <c r="I28" s="277"/>
      <c r="K28" s="488"/>
      <c r="U28" t="inlineStr">
        <is>
          <t>HAS_SECOND_CONTRACT</t>
        </is>
      </c>
      <c r="V28" t="inlineStr">
        <is>
          <t>(input)</t>
        </is>
      </c>
      <c r="W28" t="inlineStr">
        <is>
          <t>TRUE nếu có HĐLĐ ở nơi khác → không đóng BHXH/BHYT/BHTN (r19,20)</t>
        </is>
      </c>
    </row>
    <row r="29" spans="1:15" ht="29">
      <c r="A29" s="631" t="s">
        <v>452</v>
      </c>
      <c r="B29" s="632"/>
      <c r="C29" s="632" t="e">
        <f>SUBSTITUTE(ADDRESS(1, MATCH(A29, 'Payroll Mar 2026'!$8:$8, 0), 4), "1", "")</f>
        <v>#N/A</v>
      </c>
      <c r="D29" s="633">
        <v>505</v>
      </c>
      <c r="E29" s="631" t="s">
        <v>357</v>
      </c>
      <c r="F29" s="631"/>
      <c r="G29" s="631"/>
      <c r="H29" s="631" t="s">
        <v>453</v>
      </c>
      <c r="I29" s="634" t="s">
        <v>454</v>
      </c>
      <c r="J29" s="634" t="inlineStr">
        <is>
          <t>[MEALS_TOTAL] * [MEAL_RATE]</t>
        </is>
      </c>
      <c r="K29" s="637" t="s">
        <v>455</v>
      </c>
      <c r="L29" t="inlineStr">
        <is>
          <t>K coi PC cơm = NHẬP TAY (input). J dẫn xuất MEALS_TOTAL×45000 → xác nhận WD có trả cơm bữa hay nhập tay.</t>
        </is>
      </c>
    </row>
    <row r="30" spans="1:15" ht="48">
      <c r="A30" s="631" t="s">
        <v>456</v>
      </c>
      <c r="B30" s="632" t="s">
        <v>457</v>
      </c>
      <c r="C30" s="632" t="str">
        <f>SUBSTITUTE(ADDRESS(1, MATCH(A30, 'Payroll Mar 2026'!$8:$8, 0), 4), "1", "")</f>
        <v>AO</v>
      </c>
      <c r="D30" s="633">
        <v>510</v>
      </c>
      <c r="E30" s="631" t="s">
        <v>357</v>
      </c>
      <c r="F30" s="631" t="s">
        <v>458</v>
      </c>
      <c r="G30" s="631"/>
      <c r="H30" s="631" t="s">
        <v>459</v>
      </c>
      <c r="I30" s="634" t="s">
        <v>460</v>
      </c>
      <c r="J30" s="634" t="inlineStr">
        <is>
          <t>MAX(0, [MEAL_ALLOW] - [MEAL_NONTAX_CAP])</t>
        </is>
      </c>
      <c r="K30" s="637" t="s">
        <v>461</v>
      </c>
      <c r="L30" t="inlineStr">
        <is>
          <t>K: PC cơm(Taxable) nhập tay, không tính từ tổng bữa. J dùng MAX(0, MEAL_ALLOW-1.200.000).</t>
        </is>
      </c>
      <c r="Q30" s="636" t="s">
        <v>462</v>
      </c>
    </row>
    <row r="31" spans="1:15">
      <c r="A31" s="62" t="s">
        <v>463</v>
      </c>
      <c r="B31" s="501" t="s">
        <v>457</v>
      </c>
      <c r="C31" s="501" t="str">
        <f>SUBSTITUTE(ADDRESS(1, MATCH(A31, 'Payroll Mar 2026'!$8:$8, 0), 4), "1", "")</f>
        <v>AP</v>
      </c>
      <c r="D31" s="61">
        <v>520</v>
      </c>
      <c r="E31" s="62" t="s">
        <v>342</v>
      </c>
      <c r="F31" s="62"/>
      <c r="G31" s="62" t="s">
        <v>361</v>
      </c>
      <c r="H31" s="62" t="s">
        <v>464</v>
      </c>
      <c r="I31" s="277"/>
      <c r="K31" s="488"/>
    </row>
    <row r="32" spans="1:15" s="537" customFormat="1" ht="29">
      <c r="A32" s="532" t="s">
        <v>465</v>
      </c>
      <c r="B32" s="533" t="s">
        <v>457</v>
      </c>
      <c r="C32" s="533" t="e">
        <f>SUBSTITUTE(ADDRESS(1, MATCH(A32, 'Payroll Mar 2026'!$8:$8, 0), 4), "1", "")</f>
        <v>#N/A</v>
      </c>
      <c r="D32" s="534">
        <v>525</v>
      </c>
      <c r="E32" s="532" t="s">
        <v>357</v>
      </c>
      <c r="F32" s="532" t="s">
        <v>458</v>
      </c>
      <c r="G32" s="532"/>
      <c r="H32" s="532" t="s">
        <v>466</v>
      </c>
      <c r="I32" s="535">
        <v>0</v>
      </c>
      <c r="K32" s="536" t="s">
        <v>467</v>
      </c>
      <c r="Q32" s="538"/>
    </row>
    <row r="33" spans="1:15">
      <c r="A33" s="62" t="s">
        <v>468</v>
      </c>
      <c r="B33" s="501" t="s">
        <v>457</v>
      </c>
      <c r="C33" s="501" t="str">
        <f>SUBSTITUTE(ADDRESS(1, MATCH(A33, 'Payroll Mar 2026'!$8:$8, 0), 4), "1", "")</f>
        <v>AQ</v>
      </c>
      <c r="D33" s="61">
        <v>530</v>
      </c>
      <c r="E33" s="62" t="s">
        <v>342</v>
      </c>
      <c r="F33" s="62" t="s">
        <v>458</v>
      </c>
      <c r="G33" s="62" t="s">
        <v>361</v>
      </c>
      <c r="H33" s="62" t="s">
        <v>469</v>
      </c>
      <c r="I33" s="277"/>
      <c r="K33" s="489"/>
    </row>
    <row r="34" spans="1:15">
      <c r="A34" s="62" t="s">
        <v>470</v>
      </c>
      <c r="B34" s="501"/>
      <c r="C34" s="501" t="e">
        <f>SUBSTITUTE(ADDRESS(1, MATCH(A34, 'Payroll Mar 2026'!$8:$8, 0), 4), "1", "")</f>
        <v>#N/A</v>
      </c>
      <c r="D34" s="61">
        <v>535</v>
      </c>
      <c r="E34" s="62" t="s">
        <v>342</v>
      </c>
      <c r="F34" s="62"/>
      <c r="G34" s="62" t="s">
        <v>361</v>
      </c>
      <c r="H34" s="62" t="s">
        <v>471</v>
      </c>
      <c r="I34" s="277"/>
      <c r="K34" s="489"/>
    </row>
    <row r="35" spans="1:15">
      <c r="A35" s="62" t="s">
        <v>472</v>
      </c>
      <c r="B35" s="501"/>
      <c r="C35" s="501" t="e">
        <f>SUBSTITUTE(ADDRESS(1, MATCH(A35, 'Payroll Mar 2026'!$8:$8, 0), 4), "1", "")</f>
        <v>#N/A</v>
      </c>
      <c r="D35" s="61">
        <v>537</v>
      </c>
      <c r="E35" s="62" t="s">
        <v>342</v>
      </c>
      <c r="F35" s="62"/>
      <c r="G35" s="62" t="s">
        <v>473</v>
      </c>
      <c r="H35" s="62" t="s">
        <v>474</v>
      </c>
      <c r="I35" s="277"/>
      <c r="K35" s="489"/>
    </row>
    <row r="36" spans="1:15" ht="24" customHeight="1">
      <c r="A36" s="62" t="s">
        <v>475</v>
      </c>
      <c r="B36" s="501" t="s">
        <v>457</v>
      </c>
      <c r="C36" s="501" t="str">
        <f>SUBSTITUTE(ADDRESS(1, MATCH(A36, 'Payroll Mar 2026'!$8:$8, 0), 4), "1", "")</f>
        <v>AR</v>
      </c>
      <c r="D36" s="61">
        <v>540</v>
      </c>
      <c r="E36" s="62" t="s">
        <v>357</v>
      </c>
      <c r="F36" s="62" t="s">
        <v>458</v>
      </c>
      <c r="G36" s="62"/>
      <c r="H36" s="62" t="s">
        <v>476</v>
      </c>
      <c r="I36" s="276" t="s">
        <v>477</v>
      </c>
      <c r="J36" s="276" t="s">
        <v>477</v>
      </c>
      <c r="K36" s="487" t="s">
        <v>478</v>
      </c>
      <c r="Q36" s="5" t="s">
        <v>479</v>
      </c>
    </row>
    <row r="37" spans="1:15">
      <c r="A37" s="62" t="s">
        <v>480</v>
      </c>
      <c r="B37" s="501" t="s">
        <v>457</v>
      </c>
      <c r="C37" s="501" t="str">
        <f>SUBSTITUTE(ADDRESS(1, MATCH(A37, 'Payroll Mar 2026'!$8:$8, 0), 4), "1", "")</f>
        <v>AS</v>
      </c>
      <c r="D37" s="61">
        <v>545</v>
      </c>
      <c r="E37" s="62" t="s">
        <v>342</v>
      </c>
      <c r="F37" s="62" t="s">
        <v>458</v>
      </c>
      <c r="G37" s="62" t="s">
        <v>473</v>
      </c>
      <c r="H37" s="62" t="s">
        <v>481</v>
      </c>
      <c r="I37" s="277"/>
      <c r="K37" s="489"/>
    </row>
    <row r="38" spans="1:15">
      <c r="A38" s="62" t="s">
        <v>482</v>
      </c>
      <c r="B38" s="501" t="s">
        <v>457</v>
      </c>
      <c r="C38" s="501" t="str">
        <f>SUBSTITUTE(ADDRESS(1, MATCH(A38, 'Payroll Mar 2026'!$8:$8, 0), 4), "1", "")</f>
        <v>AT</v>
      </c>
      <c r="D38" s="61">
        <v>550</v>
      </c>
      <c r="E38" s="62" t="s">
        <v>342</v>
      </c>
      <c r="F38" s="62" t="s">
        <v>458</v>
      </c>
      <c r="G38" s="62" t="s">
        <v>473</v>
      </c>
      <c r="H38" s="62" t="s">
        <v>483</v>
      </c>
      <c r="I38" s="277"/>
      <c r="K38" s="489"/>
    </row>
    <row r="39" spans="1:15" ht="33" customHeight="1">
      <c r="A39" s="631" t="s">
        <v>484</v>
      </c>
      <c r="B39" s="632" t="s">
        <v>485</v>
      </c>
      <c r="C39" s="632" t="str">
        <f>SUBSTITUTE(ADDRESS(1, MATCH(A39, 'Payroll Mar 2026'!$8:$8, 0), 4), "1", "")</f>
        <v>AU</v>
      </c>
      <c r="D39" s="633">
        <v>600</v>
      </c>
      <c r="E39" s="631" t="s">
        <v>357</v>
      </c>
      <c r="F39" s="631"/>
      <c r="G39" s="631"/>
      <c r="H39" s="631" t="s">
        <v>486</v>
      </c>
      <c r="I39" s="634" t="s">
        <v>487</v>
      </c>
      <c r="J39" s="634" t="inlineStr">
        <is>
          <t>MIN([MEAL_ALLOW], [MEAL_NONTAX_CAP])</t>
        </is>
      </c>
      <c r="K39" s="637" t="s">
        <v>488</v>
      </c>
      <c r="L39" t="inlineStr">
        <is>
          <t>K: PC cơm(Non-tax) nhập tay. J dùng MIN(MEAL_ALLOW, 1.200.000).</t>
        </is>
      </c>
    </row>
    <row r="40" spans="1:15" ht="29">
      <c r="A40" s="638" t="s">
        <v>489</v>
      </c>
      <c r="B40" s="639" t="s">
        <v>485</v>
      </c>
      <c r="C40" s="639" t="str">
        <f>SUBSTITUTE(ADDRESS(1, MATCH(A40, 'Payroll Mar 2026'!$8:$8, 0), 4), "1", "")</f>
        <v>AV</v>
      </c>
      <c r="D40" s="640">
        <v>605</v>
      </c>
      <c r="E40" s="638" t="s">
        <v>357</v>
      </c>
      <c r="F40" s="638"/>
      <c r="G40" s="638"/>
      <c r="H40" s="638" t="s">
        <v>490</v>
      </c>
      <c r="I40" s="641" t="s">
        <v>491</v>
      </c>
      <c r="J40" s="276" t="inlineStr">
        <is>
          <t>[PHONE_ALLOW]</t>
        </is>
      </c>
      <c r="K40" s="642" t="s">
        <v>492</v>
      </c>
      <c r="L40" t="inlineStr">
        <is>
          <t>CT J VỠ: "[PHONE_ALLOW" thiếu "]". K: nhập tay. Sửa = [PHONE_ALLOW] hoặc để input.</t>
        </is>
      </c>
    </row>
    <row r="41" spans="1:15">
      <c r="A41" s="62" t="s">
        <v>493</v>
      </c>
      <c r="B41" s="501" t="s">
        <v>485</v>
      </c>
      <c r="C41" s="501" t="str">
        <f>SUBSTITUTE(ADDRESS(1, MATCH(A41, 'Payroll Mar 2026'!$8:$8, 0), 4), "1", "")</f>
        <v>AW</v>
      </c>
      <c r="D41" s="61">
        <v>610</v>
      </c>
      <c r="E41" s="62" t="s">
        <v>342</v>
      </c>
      <c r="F41" s="62"/>
      <c r="G41" s="62"/>
      <c r="H41" s="62" t="s">
        <v>494</v>
      </c>
      <c r="I41" s="277"/>
      <c r="K41" s="489"/>
    </row>
    <row r="42" spans="1:15">
      <c r="A42" s="62" t="s">
        <v>495</v>
      </c>
      <c r="B42" s="501" t="s">
        <v>485</v>
      </c>
      <c r="C42" s="501" t="str">
        <f>SUBSTITUTE(ADDRESS(1, MATCH(A42, 'Payroll Mar 2026'!$8:$8, 0), 4), "1", "")</f>
        <v>AX</v>
      </c>
      <c r="D42" s="61">
        <v>615</v>
      </c>
      <c r="E42" s="62" t="s">
        <v>342</v>
      </c>
      <c r="F42" s="62"/>
      <c r="G42" s="62"/>
      <c r="H42" s="62" t="s">
        <v>496</v>
      </c>
      <c r="I42" s="277"/>
      <c r="K42" s="489"/>
    </row>
    <row r="43" spans="1:15">
      <c r="A43" s="62" t="s">
        <v>497</v>
      </c>
      <c r="B43" s="501" t="s">
        <v>485</v>
      </c>
      <c r="C43" s="501" t="str">
        <f>SUBSTITUTE(ADDRESS(1, MATCH(A43, 'Payroll Mar 2026'!$8:$8, 0), 4), "1", "")</f>
        <v>AY</v>
      </c>
      <c r="D43" s="61">
        <v>620</v>
      </c>
      <c r="E43" s="62" t="s">
        <v>342</v>
      </c>
      <c r="F43" s="62"/>
      <c r="G43" s="62"/>
      <c r="H43" s="62" t="s">
        <v>498</v>
      </c>
      <c r="I43" s="277"/>
      <c r="K43" s="489"/>
    </row>
    <row r="44" spans="1:15">
      <c r="A44" s="62" t="s">
        <v>499</v>
      </c>
      <c r="B44" s="501" t="s">
        <v>485</v>
      </c>
      <c r="C44" s="501" t="str">
        <f>SUBSTITUTE(ADDRESS(1, MATCH(A44, 'Payroll Mar 2026'!$8:$8, 0), 4), "1", "")</f>
        <v>AZ</v>
      </c>
      <c r="D44" s="61">
        <v>625</v>
      </c>
      <c r="E44" s="62" t="s">
        <v>342</v>
      </c>
      <c r="F44" s="62"/>
      <c r="G44" s="62"/>
      <c r="H44" s="62" t="s">
        <v>500</v>
      </c>
      <c r="I44" s="277"/>
      <c r="K44" s="488"/>
    </row>
    <row r="45" spans="1:15">
      <c r="A45" s="62" t="s">
        <v>501</v>
      </c>
      <c r="B45" s="62" t="s">
        <v>501</v>
      </c>
      <c r="C45" s="501" t="str">
        <f>SUBSTITUTE(ADDRESS(1, MATCH(A45, 'Payroll Mar 2026'!$8:$8, 0), 4), "1", "")</f>
        <v>BA</v>
      </c>
      <c r="D45" s="61">
        <v>700</v>
      </c>
      <c r="E45" s="62" t="s">
        <v>342</v>
      </c>
      <c r="F45" s="62" t="s">
        <v>458</v>
      </c>
      <c r="G45" s="62"/>
      <c r="H45" s="62" t="s">
        <v>502</v>
      </c>
      <c r="I45" s="277"/>
      <c r="K45" s="488"/>
    </row>
    <row r="46" spans="1:15">
      <c r="A46" s="62" t="s">
        <v>503</v>
      </c>
      <c r="B46" s="62" t="s">
        <v>503</v>
      </c>
      <c r="C46" s="501" t="str">
        <f>SUBSTITUTE(ADDRESS(1, MATCH(A46, 'Payroll Mar 2026'!$8:$8, 0), 4), "1", "")</f>
        <v>BB</v>
      </c>
      <c r="D46" s="61">
        <v>705</v>
      </c>
      <c r="E46" s="62" t="s">
        <v>342</v>
      </c>
      <c r="F46" s="62"/>
      <c r="G46" s="62"/>
      <c r="H46" s="62" t="s">
        <v>504</v>
      </c>
      <c r="I46" s="277"/>
      <c r="K46" s="488"/>
    </row>
    <row r="47" spans="1:15">
      <c r="A47" s="62" t="s">
        <v>505</v>
      </c>
      <c r="B47" s="501" t="s">
        <v>506</v>
      </c>
      <c r="C47" s="501" t="str">
        <f>SUBSTITUTE(ADDRESS(1, MATCH(A47, 'Payroll Mar 2026'!$8:$8, 0), 4), "1", "")</f>
        <v>BC</v>
      </c>
      <c r="D47" s="61">
        <v>800</v>
      </c>
      <c r="E47" s="62" t="s">
        <v>342</v>
      </c>
      <c r="F47" s="62" t="s">
        <v>458</v>
      </c>
      <c r="G47" s="62" t="s">
        <v>347</v>
      </c>
      <c r="H47" s="62" t="s">
        <v>507</v>
      </c>
      <c r="I47" s="277"/>
    </row>
    <row r="48" spans="1:15">
      <c r="A48" s="62" t="s">
        <v>508</v>
      </c>
      <c r="B48" s="501" t="s">
        <v>506</v>
      </c>
      <c r="C48" s="501" t="str">
        <f>SUBSTITUTE(ADDRESS(1, MATCH(A48, 'Payroll Mar 2026'!$8:$8, 0), 4), "1", "")</f>
        <v>BD</v>
      </c>
      <c r="D48" s="61">
        <v>810</v>
      </c>
      <c r="E48" s="62" t="s">
        <v>342</v>
      </c>
      <c r="F48" s="62" t="s">
        <v>458</v>
      </c>
      <c r="G48" s="62" t="s">
        <v>347</v>
      </c>
      <c r="H48" s="62" t="s">
        <v>509</v>
      </c>
      <c r="I48" s="277"/>
    </row>
    <row r="49" spans="1:10">
      <c r="A49" s="62" t="s">
        <v>510</v>
      </c>
      <c r="B49" s="501" t="s">
        <v>506</v>
      </c>
      <c r="C49" s="501" t="str">
        <f>SUBSTITUTE(ADDRESS(1, MATCH(A49, 'Payroll Mar 2026'!$8:$8, 0), 4), "1", "")</f>
        <v>BE</v>
      </c>
      <c r="D49" s="61">
        <v>820</v>
      </c>
      <c r="E49" s="62" t="s">
        <v>342</v>
      </c>
      <c r="F49" s="62" t="s">
        <v>458</v>
      </c>
      <c r="G49" s="62" t="s">
        <v>347</v>
      </c>
      <c r="H49" s="62" t="s">
        <v>511</v>
      </c>
      <c r="I49" s="277"/>
    </row>
    <row r="50" spans="1:10">
      <c r="A50" s="62" t="s">
        <v>512</v>
      </c>
      <c r="B50" s="501" t="s">
        <v>506</v>
      </c>
      <c r="C50" s="501" t="str">
        <f>SUBSTITUTE(ADDRESS(1, MATCH(A50, 'Payroll Mar 2026'!$8:$8, 0), 4), "1", "")</f>
        <v>BF</v>
      </c>
      <c r="D50" s="61">
        <v>830</v>
      </c>
      <c r="E50" s="62" t="s">
        <v>342</v>
      </c>
      <c r="F50" s="62" t="s">
        <v>458</v>
      </c>
      <c r="G50" s="62" t="s">
        <v>347</v>
      </c>
      <c r="H50" s="62" t="s">
        <v>513</v>
      </c>
      <c r="I50" s="277"/>
    </row>
    <row r="51" spans="1:10">
      <c r="A51" s="62" t="s">
        <v>514</v>
      </c>
      <c r="B51" s="501" t="s">
        <v>506</v>
      </c>
      <c r="C51" s="501" t="str">
        <f>SUBSTITUTE(ADDRESS(1, MATCH(A51, 'Payroll Mar 2026'!$8:$8, 0), 4), "1", "")</f>
        <v>BG</v>
      </c>
      <c r="D51" s="61">
        <v>840</v>
      </c>
      <c r="E51" s="62" t="s">
        <v>342</v>
      </c>
      <c r="F51" s="62" t="s">
        <v>458</v>
      </c>
      <c r="G51" s="62" t="s">
        <v>347</v>
      </c>
      <c r="H51" s="62" t="s">
        <v>515</v>
      </c>
      <c r="I51" s="277"/>
    </row>
    <row r="52" spans="1:10">
      <c r="A52" s="62" t="s">
        <v>516</v>
      </c>
      <c r="B52" s="501" t="s">
        <v>506</v>
      </c>
      <c r="C52" s="501" t="str">
        <f>SUBSTITUTE(ADDRESS(1, MATCH(A52, 'Payroll Mar 2026'!$8:$8, 0), 4), "1", "")</f>
        <v>BH</v>
      </c>
      <c r="D52" s="61">
        <v>850</v>
      </c>
      <c r="E52" s="62" t="s">
        <v>342</v>
      </c>
      <c r="F52" s="62" t="s">
        <v>458</v>
      </c>
      <c r="G52" s="62" t="s">
        <v>347</v>
      </c>
      <c r="H52" s="62" t="s">
        <v>517</v>
      </c>
      <c r="I52" s="277"/>
    </row>
    <row r="53" spans="1:10">
      <c r="A53" s="62" t="s">
        <v>518</v>
      </c>
      <c r="B53" s="501" t="s">
        <v>506</v>
      </c>
      <c r="C53" s="501" t="str">
        <f>SUBSTITUTE(ADDRESS(1, MATCH(A53, 'Payroll Mar 2026'!$8:$8, 0), 4), "1", "")</f>
        <v>BI</v>
      </c>
      <c r="D53" s="61">
        <v>860</v>
      </c>
      <c r="E53" s="62" t="s">
        <v>342</v>
      </c>
      <c r="F53" s="62" t="s">
        <v>458</v>
      </c>
      <c r="G53" s="62" t="s">
        <v>347</v>
      </c>
      <c r="H53" s="62" t="s">
        <v>519</v>
      </c>
      <c r="I53" s="277"/>
    </row>
    <row r="54" spans="1:10">
      <c r="A54" s="62" t="s">
        <v>520</v>
      </c>
      <c r="B54" s="501" t="s">
        <v>506</v>
      </c>
      <c r="C54" s="501" t="str">
        <f>SUBSTITUTE(ADDRESS(1, MATCH(A54, 'Payroll Mar 2026'!$8:$8, 0), 4), "1", "")</f>
        <v>BJ</v>
      </c>
      <c r="D54" s="61">
        <v>870</v>
      </c>
      <c r="E54" s="62" t="s">
        <v>342</v>
      </c>
      <c r="F54" s="62" t="s">
        <v>458</v>
      </c>
      <c r="G54" s="62" t="s">
        <v>347</v>
      </c>
      <c r="H54" s="62" t="s">
        <v>521</v>
      </c>
      <c r="I54" s="277"/>
    </row>
    <row r="55" spans="1:10">
      <c r="A55" s="62" t="s">
        <v>522</v>
      </c>
      <c r="B55" s="501" t="s">
        <v>506</v>
      </c>
      <c r="C55" s="501" t="str">
        <f>SUBSTITUTE(ADDRESS(1, MATCH(A55, 'Payroll Mar 2026'!$8:$8, 0), 4), "1", "")</f>
        <v>BK</v>
      </c>
      <c r="D55" s="61">
        <v>880</v>
      </c>
      <c r="E55" s="62" t="s">
        <v>342</v>
      </c>
      <c r="F55" s="62" t="s">
        <v>458</v>
      </c>
      <c r="G55" s="62" t="s">
        <v>347</v>
      </c>
      <c r="H55" s="62" t="s">
        <v>523</v>
      </c>
      <c r="I55" s="277"/>
    </row>
    <row r="56" spans="1:10">
      <c r="A56" s="62" t="s">
        <v>524</v>
      </c>
      <c r="B56" s="501" t="s">
        <v>506</v>
      </c>
      <c r="C56" s="501" t="str">
        <f>SUBSTITUTE(ADDRESS(1, MATCH(A56, 'Payroll Mar 2026'!$8:$8, 0), 4), "1", "")</f>
        <v>BL</v>
      </c>
      <c r="D56" s="61">
        <v>885</v>
      </c>
      <c r="E56" s="62" t="s">
        <v>342</v>
      </c>
      <c r="F56" s="62" t="s">
        <v>458</v>
      </c>
      <c r="G56" s="62" t="s">
        <v>347</v>
      </c>
      <c r="H56" s="62" t="s">
        <v>525</v>
      </c>
      <c r="I56" s="277"/>
      <c r="K56" s="488"/>
    </row>
    <row r="57" spans="1:10">
      <c r="A57" s="62" t="s">
        <v>526</v>
      </c>
      <c r="B57" s="501" t="s">
        <v>506</v>
      </c>
      <c r="C57" s="501" t="str">
        <f>SUBSTITUTE(ADDRESS(1, MATCH(A57, 'Payroll Mar 2026'!$8:$8, 0), 4), "1", "")</f>
        <v>BM</v>
      </c>
      <c r="D57" s="61">
        <v>888</v>
      </c>
      <c r="E57" s="62" t="s">
        <v>342</v>
      </c>
      <c r="F57" s="62" t="s">
        <v>458</v>
      </c>
      <c r="G57" s="62" t="s">
        <v>347</v>
      </c>
      <c r="H57" s="62" t="s">
        <v>527</v>
      </c>
      <c r="I57" s="277"/>
      <c r="K57" s="488"/>
    </row>
    <row r="58" spans="1:10">
      <c r="A58" s="62" t="s">
        <v>528</v>
      </c>
      <c r="B58" s="501" t="s">
        <v>529</v>
      </c>
      <c r="C58" s="501" t="str">
        <f>SUBSTITUTE(ADDRESS(1, MATCH(A58, 'Payroll Mar 2026'!$8:$8, 0), 4), "1", "")</f>
        <v>BN</v>
      </c>
      <c r="D58" s="61">
        <v>890</v>
      </c>
      <c r="E58" s="62" t="s">
        <v>342</v>
      </c>
      <c r="F58" s="62"/>
      <c r="G58" s="62" t="s">
        <v>347</v>
      </c>
      <c r="H58" s="62" t="s">
        <v>530</v>
      </c>
      <c r="I58" s="277"/>
      <c r="K58" s="488"/>
    </row>
    <row r="59" spans="1:10">
      <c r="A59" s="62" t="s">
        <v>531</v>
      </c>
      <c r="B59" s="501" t="s">
        <v>529</v>
      </c>
      <c r="C59" s="501" t="str">
        <f>SUBSTITUTE(ADDRESS(1, MATCH(A59, 'Payroll Mar 2026'!$8:$8, 0), 4), "1", "")</f>
        <v>BO</v>
      </c>
      <c r="D59" s="61">
        <v>892</v>
      </c>
      <c r="E59" s="62" t="s">
        <v>342</v>
      </c>
      <c r="F59" s="62" t="s">
        <v>458</v>
      </c>
      <c r="G59" s="62" t="s">
        <v>347</v>
      </c>
      <c r="H59" s="62" t="s">
        <v>532</v>
      </c>
      <c r="I59" s="277"/>
      <c r="K59" s="488"/>
    </row>
    <row r="60" spans="1:10" ht="85">
      <c r="A60" s="62" t="s">
        <v>533</v>
      </c>
      <c r="B60" s="501" t="s">
        <v>533</v>
      </c>
      <c r="C60" s="501" t="e">
        <f>SUBSTITUTE(ADDRESS(1, MATCH(A60, 'Payroll Mar 2026'!$8:$8, 0), 4), "1", "")</f>
        <v>#N/A</v>
      </c>
      <c r="D60" s="61">
        <v>895</v>
      </c>
      <c r="E60" s="62" t="s">
        <v>357</v>
      </c>
      <c r="F60" s="62" t="s">
        <v>458</v>
      </c>
      <c r="G60" s="62"/>
      <c r="H60" s="62" t="s">
        <v>534</v>
      </c>
      <c r="I60" s="276" t="s">
        <v>535</v>
      </c>
      <c r="J60" s="276" t="s">
        <v>535</v>
      </c>
      <c r="K60" s="487" t="s">
        <v>536</v>
      </c>
    </row>
    <row r="61" spans="1:10">
      <c r="A61" s="62" t="s">
        <v>537</v>
      </c>
      <c r="B61" s="501" t="s">
        <v>538</v>
      </c>
      <c r="C61" s="501" t="str">
        <f>SUBSTITUTE(ADDRESS(1, MATCH(A61, 'Payroll Mar 2026'!$8:$8, 0), 4), "1", "")</f>
        <v>BP</v>
      </c>
      <c r="D61" s="61">
        <v>900</v>
      </c>
      <c r="E61" s="62" t="s">
        <v>342</v>
      </c>
      <c r="F61" s="62"/>
      <c r="G61" s="62"/>
      <c r="H61" s="62" t="s">
        <v>539</v>
      </c>
      <c r="I61" s="277"/>
      <c r="K61" s="488"/>
    </row>
    <row r="62" spans="1:10">
      <c r="A62" s="62" t="s">
        <v>540</v>
      </c>
      <c r="B62" s="501" t="s">
        <v>538</v>
      </c>
      <c r="C62" s="501" t="str">
        <f>SUBSTITUTE(ADDRESS(1, MATCH(A62, 'Payroll Mar 2026'!$8:$8, 0), 4), "1", "")</f>
        <v>BQ</v>
      </c>
      <c r="D62" s="61">
        <v>905</v>
      </c>
      <c r="E62" s="62" t="s">
        <v>342</v>
      </c>
      <c r="F62" s="62"/>
      <c r="G62" s="62"/>
      <c r="H62" s="62" t="s">
        <v>541</v>
      </c>
      <c r="I62" s="277"/>
      <c r="K62" s="488"/>
    </row>
    <row r="63" spans="1:10">
      <c r="A63" s="62" t="s">
        <v>542</v>
      </c>
      <c r="B63" s="501" t="s">
        <v>538</v>
      </c>
      <c r="C63" s="501" t="str">
        <f>SUBSTITUTE(ADDRESS(1, MATCH(A63, 'Payroll Mar 2026'!$8:$8, 0), 4), "1", "")</f>
        <v>BR</v>
      </c>
      <c r="D63" s="61">
        <v>910</v>
      </c>
      <c r="E63" s="62" t="s">
        <v>342</v>
      </c>
      <c r="F63" s="62"/>
      <c r="G63" s="62"/>
      <c r="H63" s="62" t="s">
        <v>543</v>
      </c>
      <c r="I63" s="277"/>
      <c r="K63" s="488"/>
    </row>
    <row r="64" spans="1:10">
      <c r="A64" s="62" t="s">
        <v>544</v>
      </c>
      <c r="B64" s="501" t="s">
        <v>538</v>
      </c>
      <c r="C64" s="501" t="e">
        <f>SUBSTITUTE(ADDRESS(1, MATCH(A64, 'Payroll Mar 2026'!$8:$8, 0), 4), "1", "")</f>
        <v>#N/A</v>
      </c>
      <c r="D64" s="61">
        <v>915</v>
      </c>
      <c r="E64" s="62" t="s">
        <v>342</v>
      </c>
      <c r="F64" s="62"/>
      <c r="G64" s="62"/>
      <c r="H64" s="62" t="s">
        <v>545</v>
      </c>
      <c r="I64" s="277"/>
      <c r="K64" s="488"/>
    </row>
    <row r="65" spans="1:17" ht="57">
      <c r="A65" s="62" t="s">
        <v>546</v>
      </c>
      <c r="B65" s="501" t="s">
        <v>547</v>
      </c>
      <c r="C65" s="501" t="e">
        <f>SUBSTITUTE(ADDRESS(1, MATCH(A65, 'Payroll Mar 2026'!$8:$8, 0), 4), "1", "")</f>
        <v>#N/A</v>
      </c>
      <c r="D65" s="61">
        <v>990</v>
      </c>
      <c r="E65" s="62" t="s">
        <v>357</v>
      </c>
      <c r="F65" s="62"/>
      <c r="G65" s="62"/>
      <c r="H65" s="62" t="s">
        <v>548</v>
      </c>
      <c r="I65" s="276" t="s">
        <v>549</v>
      </c>
      <c r="J65" s="276" t="s">
        <v>549</v>
      </c>
      <c r="K65" s="487" t="s">
        <v>550</v>
      </c>
    </row>
    <row r="66" spans="1:17">
      <c r="A66" s="62" t="s">
        <v>551</v>
      </c>
      <c r="B66" s="501" t="s">
        <v>552</v>
      </c>
      <c r="C66" s="501" t="str">
        <f>SUBSTITUTE(ADDRESS(1, MATCH(A66, 'Payroll Mar 2026'!$8:$8, 0), 4), "1", "")</f>
        <v>BT</v>
      </c>
      <c r="D66" s="61">
        <v>1000</v>
      </c>
      <c r="E66" s="62" t="s">
        <v>342</v>
      </c>
      <c r="F66" s="62" t="s">
        <v>458</v>
      </c>
      <c r="G66" s="62"/>
      <c r="H66" s="62" t="s">
        <v>553</v>
      </c>
      <c r="I66" s="277"/>
      <c r="K66" s="488"/>
    </row>
    <row r="67" spans="1:17">
      <c r="A67" s="62" t="s">
        <v>554</v>
      </c>
      <c r="B67" s="501" t="s">
        <v>552</v>
      </c>
      <c r="C67" s="501" t="str">
        <f>SUBSTITUTE(ADDRESS(1, MATCH(A67, 'Payroll Mar 2026'!$8:$8, 0), 4), "1", "")</f>
        <v>BU</v>
      </c>
      <c r="D67" s="61">
        <v>1005</v>
      </c>
      <c r="E67" s="62" t="s">
        <v>342</v>
      </c>
      <c r="F67" s="62"/>
      <c r="G67" s="62"/>
      <c r="H67" s="62" t="s">
        <v>555</v>
      </c>
      <c r="I67" s="277"/>
      <c r="K67" s="488"/>
    </row>
    <row r="68" spans="1:17">
      <c r="A68" s="62" t="s">
        <v>556</v>
      </c>
      <c r="B68" s="501"/>
      <c r="C68" s="501" t="str">
        <f>SUBSTITUTE(ADDRESS(1, MATCH(A68, 'Payroll Mar 2026'!$8:$8, 0), 4), "1", "")</f>
        <v>BV</v>
      </c>
      <c r="D68" s="61">
        <v>1010</v>
      </c>
      <c r="E68" s="62" t="s">
        <v>342</v>
      </c>
      <c r="F68" s="62"/>
      <c r="G68" s="62"/>
      <c r="H68" s="62" t="s">
        <v>557</v>
      </c>
      <c r="I68" s="277"/>
      <c r="K68" s="488"/>
    </row>
    <row r="69" spans="1:17" ht="197">
      <c r="A69" s="631" t="s">
        <v>558</v>
      </c>
      <c r="B69" s="632"/>
      <c r="C69" s="632" t="str">
        <f>SUBSTITUTE(ADDRESS(1, MATCH(A69, 'Payroll Mar 2026'!$8:$8, 0), 4), "1", "")</f>
        <v>BW</v>
      </c>
      <c r="D69" s="633">
        <v>1100</v>
      </c>
      <c r="E69" s="631" t="s">
        <v>357</v>
      </c>
      <c r="F69" s="631"/>
      <c r="G69" s="631"/>
      <c r="H69" s="631" t="s">
        <v>559</v>
      </c>
      <c r="I69" s="634" t="s">
        <v>560</v>
      </c>
      <c r="J69" s="634" t="s">
        <v>560</v>
      </c>
      <c r="K69" s="643" t="s">
        <v>561</v>
      </c>
      <c r="L69" t="inlineStr">
        <is>
          <t>J TRỪ ADJ_MINUS; sample K lại CỘNG "Điều chỉnh trừ lương" (SUM AN9:BU9). Nghi sample sai dấu — HR chốt: cộng hay trừ?</t>
        </is>
      </c>
      <c s="644" r="M69" t="s">
        <v>420</v>
      </c>
    </row>
    <row r="70" spans="1:17" ht="409.6">
      <c r="A70" s="631" t="s">
        <v>562</v>
      </c>
      <c r="B70" s="632"/>
      <c r="C70" s="632" t="str">
        <f>SUBSTITUTE(ADDRESS(1, MATCH(A70, 'Payroll Mar 2026'!$8:$8, 0), 4), "1", "")</f>
        <v>BX</v>
      </c>
      <c r="D70" s="633">
        <v>1110</v>
      </c>
      <c r="E70" s="631" t="s">
        <v>357</v>
      </c>
      <c r="F70" s="631"/>
      <c r="G70" s="631"/>
      <c r="H70" s="631" t="s">
        <v>563</v>
      </c>
      <c r="I70" s="634" t="s">
        <v>564</v>
      </c>
      <c r="J70" s="634" t="s">
        <v>564</v>
      </c>
      <c r="K70" s="643" t="s">
        <v>565</v>
      </c>
      <c r="L70" t="inlineStr">
        <is>
          <t>Danh mục miễn/trừ KHÁC: K trừ "Từ thiện" + "Lương phép tồn"; J trừ SEVER_ALLOW/SI_BENEFIT/BONUS_TRAVEL. Rà lại khoản nào không chịu thuế.</t>
        </is>
      </c>
      <c s="644" r="M70" t="s">
        <v>390</v>
      </c>
      <c r="Q70" s="645" t="s">
        <v>566</v>
      </c>
      <c r="R70" s="645" t="s">
        <v>567</v>
      </c>
      <c r="S70" s="646" t="s">
        <v>568</v>
      </c>
    </row>
    <row r="71" spans="1:17" ht="29">
      <c r="A71" s="638" t="s">
        <v>569</v>
      </c>
      <c r="B71" s="639" t="s">
        <v>570</v>
      </c>
      <c r="C71" s="639" t="str">
        <f>SUBSTITUTE(ADDRESS(1, MATCH(A71, 'Payroll Mar 2026'!$8:$8, 0), 4), "1", "")</f>
        <v>BY</v>
      </c>
      <c r="D71" s="640">
        <v>1200</v>
      </c>
      <c r="E71" s="638" t="s">
        <v>357</v>
      </c>
      <c r="F71" s="638"/>
      <c r="G71" s="638"/>
      <c r="H71" s="638" t="s">
        <v>571</v>
      </c>
      <c r="I71" s="647" t="s">
        <v>572</v>
      </c>
      <c r="J71" s="276" t="inlineStr">
        <is>
          <t>MIN([BASIC_SAL], [SI_CAP]) * [SI_EMP_RATE]</t>
        </is>
      </c>
      <c r="K71" s="648" t="s">
        <v>573</v>
      </c>
      <c r="L71" t="inlineStr">
        <is>
          <t>SAI TRẦN: K = MIN(BASIC_SAL, 50.600.000)×8% (KHÔNG phải 46.8M). Lưu ý BHXH trần 50.6M nhưng BHYT trần 46.8M → 2 param riêng.</t>
        </is>
      </c>
      <c s="649" r="M71" t="s">
        <v>420</v>
      </c>
      <c r="Q71" s="650" t="s">
        <v>574</v>
      </c>
    </row>
    <row r="72" spans="1:17">
      <c r="A72" s="62" t="s">
        <v>575</v>
      </c>
      <c r="B72" s="501" t="s">
        <v>570</v>
      </c>
      <c r="C72" s="501" t="str">
        <f>SUBSTITUTE(ADDRESS(1, MATCH(A72, 'Payroll Mar 2026'!$8:$8, 0), 4), "1", "")</f>
        <v>BZ</v>
      </c>
      <c r="D72" s="61">
        <v>1205</v>
      </c>
      <c r="E72" s="62" t="s">
        <v>342</v>
      </c>
      <c r="F72" s="62"/>
      <c r="G72" s="62"/>
      <c r="H72" s="62" t="s">
        <v>576</v>
      </c>
      <c r="I72" s="496"/>
      <c r="K72" s="488"/>
    </row>
    <row r="73" spans="1:17" ht="29">
      <c r="A73" s="651" t="s">
        <v>577</v>
      </c>
      <c r="B73" s="652" t="s">
        <v>570</v>
      </c>
      <c r="C73" s="652" t="str">
        <f>SUBSTITUTE(ADDRESS(1, MATCH(A73, 'Payroll Mar 2026'!$8:$8, 0), 4), "1", "")</f>
        <v>CA</v>
      </c>
      <c r="D73" s="653">
        <v>1210</v>
      </c>
      <c r="E73" s="651" t="s">
        <v>357</v>
      </c>
      <c r="F73" s="651"/>
      <c r="G73" s="651"/>
      <c r="H73" s="651" t="s">
        <v>578</v>
      </c>
      <c r="I73" s="654" t="s">
        <v>579</v>
      </c>
      <c r="J73" s="276" t="inlineStr">
        <is>
          <t>MIN([BASIC_SAL], [SI_CAP]) * [HI_EMP_RATE]</t>
        </is>
      </c>
      <c r="K73" s="656" t="s">
        <v>580</v>
      </c>
      <c r="L73" t="inlineStr">
        <is>
          <t>BHYT NLĐ = MIN(BASIC_SAL, 50.600.000)×1.5%. Trần dùng chung SI_CAP 50.6M (số chuẩn HR).</t>
        </is>
      </c>
      <c s="657" r="M73" t="s">
        <v>420</v>
      </c>
    </row>
    <row r="74" spans="1:17">
      <c r="A74" s="62" t="s">
        <v>581</v>
      </c>
      <c r="B74" s="501" t="s">
        <v>570</v>
      </c>
      <c r="C74" s="501" t="str">
        <f>SUBSTITUTE(ADDRESS(1, MATCH(A74, 'Payroll Mar 2026'!$8:$8, 0), 4), "1", "")</f>
        <v>CB</v>
      </c>
      <c r="D74" s="61">
        <v>1215</v>
      </c>
      <c r="E74" s="62" t="s">
        <v>342</v>
      </c>
      <c r="F74" s="62"/>
      <c r="G74" s="62"/>
      <c r="H74" s="62" t="s">
        <v>582</v>
      </c>
      <c r="I74" s="496"/>
      <c r="K74" s="488"/>
    </row>
    <row r="75" spans="1:17" ht="29">
      <c r="A75" s="651" t="s">
        <v>583</v>
      </c>
      <c r="B75" s="652" t="s">
        <v>570</v>
      </c>
      <c r="C75" s="652" t="str">
        <f>SUBSTITUTE(ADDRESS(1, MATCH(A75, 'Payroll Mar 2026'!$8:$8, 0), 4), "1", "")</f>
        <v>CC</v>
      </c>
      <c r="D75" s="653">
        <v>1220</v>
      </c>
      <c r="E75" s="651" t="s">
        <v>357</v>
      </c>
      <c r="F75" s="651"/>
      <c r="G75" s="651"/>
      <c r="H75" s="651" t="s">
        <v>584</v>
      </c>
      <c r="I75" s="655" t="s">
        <v>585</v>
      </c>
      <c r="J75" s="276" t="inlineStr">
        <is>
          <t>MIN([BASIC_SAL], [UI_CAP]) * [UI_EMP_RATE]</t>
        </is>
      </c>
      <c r="K75" s="656" t="s">
        <v>586</v>
      </c>
      <c r="L75" t="inlineStr">
        <is>
          <t>Khớp chuẩn K.</t>
        </is>
      </c>
      <c s="657" r="M75" t="s">
        <v>420</v>
      </c>
      <c r="Q75" s="658" t="s">
        <v>587</v>
      </c>
    </row>
    <row r="76" spans="1:17">
      <c r="A76" s="62" t="s">
        <v>588</v>
      </c>
      <c r="B76" s="501" t="s">
        <v>570</v>
      </c>
      <c r="C76" s="501" t="str">
        <f>SUBSTITUTE(ADDRESS(1, MATCH(A76, 'Payroll Mar 2026'!$8:$8, 0), 4), "1", "")</f>
        <v>CD</v>
      </c>
      <c r="D76" s="61">
        <v>1225</v>
      </c>
      <c r="E76" s="62" t="s">
        <v>342</v>
      </c>
      <c r="F76" s="62"/>
      <c r="G76" s="62"/>
      <c r="H76" s="62" t="s">
        <v>589</v>
      </c>
      <c r="I76" s="277"/>
      <c r="K76" s="488"/>
    </row>
    <row r="77" spans="1:17" ht="43">
      <c r="A77" s="62" t="s">
        <v>590</v>
      </c>
      <c r="B77" s="501" t="s">
        <v>591</v>
      </c>
      <c r="C77" s="501" t="str">
        <f>SUBSTITUTE(ADDRESS(1, MATCH(A77, 'Payroll Mar 2026'!$8:$8, 0), 4), "1", "")</f>
        <v>CE</v>
      </c>
      <c r="D77" s="61">
        <v>1290</v>
      </c>
      <c r="E77" s="62" t="s">
        <v>357</v>
      </c>
      <c r="F77" s="62"/>
      <c r="G77" s="62"/>
      <c r="H77" s="62" t="s">
        <v>592</v>
      </c>
      <c r="I77" s="276" t="s">
        <v>593</v>
      </c>
      <c r="J77" s="276" t="s">
        <v>593</v>
      </c>
      <c r="K77" s="442" t="s">
        <v>594</v>
      </c>
      <c r="M77" t="s">
        <v>420</v>
      </c>
    </row>
    <row r="78" spans="1:17">
      <c r="A78" s="623" t="s">
        <v>595</v>
      </c>
      <c r="B78" s="624" t="s">
        <v>596</v>
      </c>
      <c r="C78" s="624" t="str">
        <f>SUBSTITUTE(ADDRESS(1, MATCH(A78, 'Payroll Mar 2026'!$8:$8, 0), 4), "1", "")</f>
        <v>CF</v>
      </c>
      <c r="D78" s="625">
        <v>1300</v>
      </c>
      <c r="E78" s="623" t="s">
        <v>357</v>
      </c>
      <c r="F78" s="623"/>
      <c r="G78" s="623"/>
      <c r="H78" s="623" t="s">
        <v>597</v>
      </c>
      <c r="I78" s="626">
        <v>15500000</v>
      </c>
      <c r="J78" s="276" t="inlineStr">
        <is>
          <t>IF([CONTRACT_TYPE]="Chính thức", [PERSONAL_DED_AMT], 0)</t>
        </is>
      </c>
      <c r="K78" s="659" t="s">
        <v>598</v>
      </c>
      <c r="L78" t="inlineStr">
        <is>
          <t>2 CT: Chính thức = 15.500.000; Thử việc = ? (K cắt chữ, cần HR). J để cứng 15.5M cho mọi loại HĐ.</t>
        </is>
      </c>
      <c s="628" r="M78" t="s">
        <v>390</v>
      </c>
    </row>
    <row r="79" spans="1:17">
      <c r="A79" s="62" t="s">
        <v>599</v>
      </c>
      <c r="B79" s="501"/>
      <c r="C79" s="501" t="str">
        <f>SUBSTITUTE(ADDRESS(1, MATCH(A79, 'Payroll Mar 2026'!$8:$8, 0), 4), "1", "")</f>
        <v>CG</v>
      </c>
      <c r="D79" s="61">
        <v>1310</v>
      </c>
      <c r="E79" s="62" t="s">
        <v>342</v>
      </c>
      <c r="F79" s="62"/>
      <c r="G79" s="62"/>
      <c r="H79" s="62" t="s">
        <v>600</v>
      </c>
      <c r="I79" s="277"/>
      <c r="K79" s="488"/>
    </row>
    <row r="80" spans="1:17">
      <c r="A80" s="651" t="s">
        <v>601</v>
      </c>
      <c r="B80" s="652" t="s">
        <v>596</v>
      </c>
      <c r="C80" s="652" t="str">
        <f>SUBSTITUTE(ADDRESS(1, MATCH(A80, 'Payroll Mar 2026'!$8:$8, 0), 4), "1", "")</f>
        <v>CH</v>
      </c>
      <c r="D80" s="653">
        <v>1320</v>
      </c>
      <c r="E80" s="651" t="s">
        <v>357</v>
      </c>
      <c r="F80" s="651"/>
      <c r="G80" s="651"/>
      <c r="H80" s="651" t="s">
        <v>602</v>
      </c>
      <c r="I80" s="655" t="s">
        <v>603</v>
      </c>
      <c r="J80" s="655" t="inlineStr">
        <is>
          <t>[DEPENDENT_CNT] * [DEPENDENT_DED]</t>
        </is>
      </c>
      <c r="K80" s="656" t="s">
        <v>604</v>
      </c>
      <c r="L80" t="inlineStr">
        <is>
          <t>Khớp chuẩn K.</t>
        </is>
      </c>
      <c s="657" r="M80" t="s">
        <v>420</v>
      </c>
    </row>
    <row r="81" spans="1:15">
      <c r="A81" s="651" t="s">
        <v>605</v>
      </c>
      <c r="B81" s="652" t="s">
        <v>606</v>
      </c>
      <c r="C81" s="652" t="str">
        <f>SUBSTITUTE(ADDRESS(1, MATCH(A81, 'Payroll Mar 2026'!$8:$8, 0), 4), "1", "")</f>
        <v>CI</v>
      </c>
      <c r="D81" s="653">
        <v>1390</v>
      </c>
      <c r="E81" s="651" t="s">
        <v>357</v>
      </c>
      <c r="F81" s="651"/>
      <c r="G81" s="651"/>
      <c r="H81" s="651" t="s">
        <v>607</v>
      </c>
      <c r="I81" s="655" t="s">
        <v>608</v>
      </c>
      <c r="J81" s="655" t="s">
        <v>608</v>
      </c>
      <c r="K81" s="656" t="s">
        <v>609</v>
      </c>
      <c r="L81" t="inlineStr">
        <is>
          <t>Khớp chuẩn K.</t>
        </is>
      </c>
      <c s="657" r="M81" t="s">
        <v>420</v>
      </c>
    </row>
    <row r="82" spans="1:15" ht="43">
      <c r="A82" s="651" t="s">
        <v>610</v>
      </c>
      <c r="B82" s="652"/>
      <c r="C82" s="652" t="str">
        <f>SUBSTITUTE(ADDRESS(1, MATCH(A82, 'Payroll Mar 2026'!$8:$8, 0), 4), "1", "")</f>
        <v>CJ</v>
      </c>
      <c r="D82" s="653">
        <v>1400</v>
      </c>
      <c r="E82" s="651" t="s">
        <v>357</v>
      </c>
      <c r="F82" s="651"/>
      <c r="G82" s="651"/>
      <c r="H82" s="651" t="s">
        <v>611</v>
      </c>
      <c r="I82" s="655" t="s">
        <v>612</v>
      </c>
      <c r="J82" s="655" t="s">
        <v>612</v>
      </c>
      <c r="K82" s="656" t="s">
        <v>613</v>
      </c>
      <c r="L82" t="inlineStr">
        <is>
          <t>Khớp, NHƯNG lưu ý K KHÔNG trừ "Từ thiện" trong thu nhập chịu thuế.</t>
        </is>
      </c>
      <c s="657" r="M82" t="s">
        <v>390</v>
      </c>
    </row>
    <row r="83" spans="1:15" s="3" customFormat="1" ht="96">
      <c r="A83" s="631" t="s">
        <v>614</v>
      </c>
      <c r="B83" s="632"/>
      <c r="C83" s="632" t="str">
        <f>SUBSTITUTE(ADDRESS(1, MATCH(A83, 'Payroll Mar 2026'!$8:$8, 0), 4), "1", "")</f>
        <v>CK</v>
      </c>
      <c r="D83" s="660">
        <v>1410</v>
      </c>
      <c r="E83" s="661" t="s">
        <v>370</v>
      </c>
      <c r="F83" s="661"/>
      <c r="G83" s="661"/>
      <c r="H83" s="661" t="s">
        <v>615</v>
      </c>
      <c r="I83" s="662"/>
      <c r="J83" s="276" t="inlineStr">
        <is>
          <t>IF([IS_EXPAT_NO_WP]=TRUE, 0.2 * [TAXABLE_INC], IF([EMP_TYPE]="Intern", IF([HAS_TAX_COMMITMENT]=TRUE, 0, IF([TAXABLE_INC] &gt; 5000000, 0.1 * [TAXABLE_INC], 0)), ROUND(MAX(0.05 * [TAXABLE_INC], 0.10 * [TAXABLE_INC] - 500000, 0.20 * [TAXABLE_INC] - 3500000, 0.30 * [TAXABLE_INC] - 9500000, 0.35 * [TAXABLE_INC] - 14500000), 0)))</t>
        </is>
      </c>
      <c r="K83" s="663" t="s">
        <v>616</v>
      </c>
      <c r="L83" t="inlineStr">
        <is>
          <t>PIT lũy tiến 5 bậc theo NQ 110/2025/UBTVQH15, hiệu lực 01/01/2026 (7→5 bậc). Bậc: ≤10tr=5%; 10-30=10%; 30-60=20%; 60-100=30%; &gt;100=35%. Dùng MAX(quick-deduction) = lũy tiến chuẩn. 3 nhánh: expat không work permit=20%×TNTT; intern&gt;5tr=10% (có cam kết=0); còn lại lũy tiến. Cần input: [IS_EXPAT_NO_WP], [EMP_TYPE], [HAS_TAX_COMMITMENT].</t>
        </is>
      </c>
      <c r="M83" s="664" t="s">
        <v>617</v>
      </c>
      <c r="Q83" s="665" t="s">
        <v>618</v>
      </c>
    </row>
    <row r="84" spans="1:15">
      <c r="A84" s="62" t="s">
        <v>619</v>
      </c>
      <c r="B84" s="501"/>
      <c r="C84" s="501" t="str">
        <f>SUBSTITUTE(ADDRESS(1, MATCH(A84, 'Payroll Mar 2026'!$8:$8, 0), 4), "1", "")</f>
        <v>CL</v>
      </c>
      <c r="D84" s="61">
        <v>1415</v>
      </c>
      <c r="E84" s="62" t="s">
        <v>342</v>
      </c>
      <c r="F84" s="62"/>
      <c r="G84" s="62"/>
      <c r="H84" s="62" t="s">
        <v>620</v>
      </c>
      <c r="I84" s="277"/>
      <c r="K84" s="488"/>
    </row>
    <row r="85" spans="1:15">
      <c r="A85" s="651" t="s">
        <v>621</v>
      </c>
      <c r="B85" s="652"/>
      <c r="C85" s="652" t="str">
        <f>SUBSTITUTE(ADDRESS(1, MATCH(A85, 'Payroll Mar 2026'!$8:$8, 0), 4), "1", "")</f>
        <v>CM</v>
      </c>
      <c r="D85" s="653">
        <v>1420</v>
      </c>
      <c r="E85" s="651" t="s">
        <v>357</v>
      </c>
      <c r="F85" s="651"/>
      <c r="G85" s="651"/>
      <c r="H85" s="651" t="s">
        <v>622</v>
      </c>
      <c r="I85" s="655" t="s">
        <v>623</v>
      </c>
      <c r="J85" s="655" t="s">
        <v>623</v>
      </c>
      <c r="K85" s="656" t="s">
        <v>624</v>
      </c>
      <c r="L85" t="inlineStr">
        <is>
          <t>Khớp chuẩn K.</t>
        </is>
      </c>
      <c s="657" r="M85" t="s">
        <v>420</v>
      </c>
    </row>
    <row r="86" spans="1:15" ht="29">
      <c r="A86" s="651" t="s">
        <v>625</v>
      </c>
      <c r="B86" s="652"/>
      <c r="C86" s="652" t="str">
        <f>SUBSTITUTE(ADDRESS(1, MATCH(A86, 'Payroll Mar 2026'!$8:$8, 0), 4), "1", "")</f>
        <v>CN</v>
      </c>
      <c r="D86" s="653">
        <v>1490</v>
      </c>
      <c r="E86" s="651" t="s">
        <v>357</v>
      </c>
      <c r="F86" s="651"/>
      <c r="G86" s="651"/>
      <c r="H86" s="651" t="s">
        <v>626</v>
      </c>
      <c r="I86" s="666" t="s">
        <v>627</v>
      </c>
      <c r="J86" s="655" t="s">
        <v>627</v>
      </c>
      <c r="K86" s="656" t="s">
        <v>628</v>
      </c>
      <c r="L86" t="inlineStr">
        <is>
          <t>Khớp chuẩn K.</t>
        </is>
      </c>
      <c s="657" r="M86" t="s">
        <v>420</v>
      </c>
    </row>
    <row r="87" spans="1:15">
      <c r="A87" s="62" t="s">
        <v>629</v>
      </c>
      <c r="B87" s="501" t="s">
        <v>630</v>
      </c>
      <c r="C87" s="501" t="str">
        <f>SUBSTITUTE(ADDRESS(1, MATCH(A87, 'Payroll Mar 2026'!$8:$8, 0), 4), "1", "")</f>
        <v>CO</v>
      </c>
      <c r="D87" s="61">
        <v>1500</v>
      </c>
      <c r="E87" s="62" t="s">
        <v>342</v>
      </c>
      <c r="F87" s="62"/>
      <c r="G87" s="62"/>
      <c r="H87" s="62" t="s">
        <v>631</v>
      </c>
      <c r="I87" s="277"/>
      <c r="K87" s="488"/>
    </row>
    <row r="88" spans="1:15">
      <c r="A88" s="62" t="s">
        <v>632</v>
      </c>
      <c r="B88" s="501" t="s">
        <v>630</v>
      </c>
      <c r="C88" s="501" t="str">
        <f>SUBSTITUTE(ADDRESS(1, MATCH(A88, 'Payroll Mar 2026'!$8:$8, 0), 4), "1", "")</f>
        <v>CP</v>
      </c>
      <c r="D88" s="61">
        <v>1510</v>
      </c>
      <c r="E88" s="62" t="s">
        <v>342</v>
      </c>
      <c r="F88" s="62"/>
      <c r="G88" s="62"/>
      <c r="H88" s="62" t="s">
        <v>633</v>
      </c>
      <c r="I88" s="277"/>
      <c r="K88" s="488"/>
    </row>
    <row r="89" spans="1:15">
      <c r="A89" s="62" t="s">
        <v>634</v>
      </c>
      <c r="B89" s="501" t="s">
        <v>630</v>
      </c>
      <c r="C89" s="501" t="str">
        <f>SUBSTITUTE(ADDRESS(1, MATCH(A89, 'Payroll Mar 2026'!$8:$8, 0), 4), "1", "")</f>
        <v>CQ</v>
      </c>
      <c r="D89" s="61">
        <v>1515</v>
      </c>
      <c r="E89" s="62" t="s">
        <v>342</v>
      </c>
      <c r="F89" s="62"/>
      <c r="G89" s="62"/>
      <c r="H89" s="62" t="s">
        <v>635</v>
      </c>
      <c r="I89" s="277"/>
      <c r="K89" s="488"/>
    </row>
    <row r="90" spans="1:15">
      <c r="A90" s="62" t="s">
        <v>636</v>
      </c>
      <c r="B90" s="501" t="s">
        <v>630</v>
      </c>
      <c r="C90" s="501" t="str">
        <f>SUBSTITUTE(ADDRESS(1, MATCH(A90, 'Payroll Mar 2026'!$8:$8, 0), 4), "1", "")</f>
        <v>CR</v>
      </c>
      <c r="D90" s="61">
        <v>1520</v>
      </c>
      <c r="E90" s="62" t="s">
        <v>342</v>
      </c>
      <c r="F90" s="62"/>
      <c r="G90" s="62"/>
      <c r="H90" s="62" t="s">
        <v>637</v>
      </c>
      <c r="I90" s="277"/>
      <c r="K90" s="488"/>
    </row>
    <row r="91" spans="1:15">
      <c r="A91" s="62" t="s">
        <v>638</v>
      </c>
      <c r="B91" s="501" t="s">
        <v>630</v>
      </c>
      <c r="C91" s="501" t="str">
        <f>SUBSTITUTE(ADDRESS(1, MATCH(A91, 'Payroll Mar 2026'!$8:$8, 0), 4), "1", "")</f>
        <v>CS</v>
      </c>
      <c r="D91" s="61">
        <v>1525</v>
      </c>
      <c r="E91" s="62" t="s">
        <v>342</v>
      </c>
      <c r="F91" s="62"/>
      <c r="G91" s="62"/>
      <c r="H91" s="62" t="s">
        <v>639</v>
      </c>
      <c r="I91" s="277"/>
      <c r="K91" s="488"/>
    </row>
    <row r="92" spans="1:15" ht="57">
      <c r="A92" s="62" t="s">
        <v>640</v>
      </c>
      <c r="B92" s="501" t="s">
        <v>641</v>
      </c>
      <c r="C92" s="501" t="e">
        <f>SUBSTITUTE(ADDRESS(1, MATCH(A92, 'Payroll Mar 2026'!$8:$8, 0), 4), "1", "")</f>
        <v>#N/A</v>
      </c>
      <c r="D92" s="61">
        <v>1590</v>
      </c>
      <c r="E92" s="62" t="s">
        <v>357</v>
      </c>
      <c r="F92" s="62"/>
      <c r="G92" s="62"/>
      <c r="H92" s="62" t="s">
        <v>642</v>
      </c>
      <c r="I92" s="276" t="s">
        <v>643</v>
      </c>
      <c r="J92" s="276" t="s">
        <v>643</v>
      </c>
      <c r="K92" s="442" t="s">
        <v>644</v>
      </c>
      <c r="M92" t="s">
        <v>420</v>
      </c>
    </row>
    <row r="93" spans="1:15" ht="57">
      <c r="A93" s="667" t="s">
        <v>645</v>
      </c>
      <c r="B93" s="668" t="s">
        <v>646</v>
      </c>
      <c r="C93" s="668" t="str">
        <f>SUBSTITUTE(ADDRESS(1, MATCH(A93, 'Payroll Mar 2026'!$8:$8, 0), 4), "1", "")</f>
        <v>CT</v>
      </c>
      <c r="D93" s="669">
        <v>1600</v>
      </c>
      <c r="E93" s="667" t="s">
        <v>357</v>
      </c>
      <c r="F93" s="667"/>
      <c r="G93" s="667"/>
      <c r="H93" s="667" t="s">
        <v>647</v>
      </c>
      <c r="I93" s="670" t="s">
        <v>648</v>
      </c>
      <c r="J93" s="276" t="inlineStr">
        <is>
          <t>MIN([INS_SAL_BH] * [UNION_FEE_RATE], [UNION_FEE_MAX])</t>
        </is>
      </c>
      <c r="K93" s="671" t="s">
        <v>649</v>
      </c>
      <c r="L93" t="inlineStr">
        <is>
          <t>SAI BASE: K = (lương đóng BHXH/BHYT = INS_SAL_BH) × 0.5%, KHÔNG phải BASIC_SAL. Thêm MAX = 253.000. J thiếu cả hai.</t>
        </is>
      </c>
      <c s="672" r="M93" t="s">
        <v>390</v>
      </c>
    </row>
    <row r="94" spans="1:15">
      <c r="A94" s="62" t="s">
        <v>650</v>
      </c>
      <c r="B94" s="501" t="s">
        <v>646</v>
      </c>
      <c r="C94" s="501" t="str">
        <f>SUBSTITUTE(ADDRESS(1, MATCH(A94, 'Payroll Mar 2026'!$8:$8, 0), 4), "1", "")</f>
        <v>CU</v>
      </c>
      <c r="D94" s="61">
        <v>1605</v>
      </c>
      <c r="E94" s="62" t="s">
        <v>342</v>
      </c>
      <c r="F94" s="62"/>
      <c r="G94" s="62"/>
      <c r="H94" s="62" t="s">
        <v>651</v>
      </c>
      <c r="I94" s="277"/>
      <c r="K94" s="488"/>
    </row>
    <row r="95" spans="1:15">
      <c r="A95" s="62" t="s">
        <v>652</v>
      </c>
      <c r="B95" s="501" t="s">
        <v>646</v>
      </c>
      <c r="C95" s="501" t="str">
        <f>SUBSTITUTE(ADDRESS(1, MATCH(A95, 'Payroll Mar 2026'!$8:$8, 0), 4), "1", "")</f>
        <v>CV</v>
      </c>
      <c r="D95" s="61">
        <v>1610</v>
      </c>
      <c r="E95" s="62" t="s">
        <v>342</v>
      </c>
      <c r="F95" s="62"/>
      <c r="G95" s="62"/>
      <c r="H95" s="62" t="s">
        <v>653</v>
      </c>
      <c r="I95" s="277"/>
      <c r="K95" s="488"/>
    </row>
    <row r="96" spans="1:15">
      <c r="A96" s="62" t="s">
        <v>654</v>
      </c>
      <c r="B96" s="501" t="s">
        <v>646</v>
      </c>
      <c r="C96" s="501" t="str">
        <f>SUBSTITUTE(ADDRESS(1, MATCH(A96, 'Payroll Mar 2026'!$8:$8, 0), 4), "1", "")</f>
        <v>CW</v>
      </c>
      <c r="D96" s="61">
        <v>1615</v>
      </c>
      <c r="E96" s="62" t="s">
        <v>342</v>
      </c>
      <c r="F96" s="62"/>
      <c r="G96" s="62"/>
      <c r="H96" s="62" t="s">
        <v>655</v>
      </c>
      <c r="I96" s="277"/>
      <c r="K96" s="488"/>
    </row>
    <row r="97" spans="1:15">
      <c r="A97" s="62" t="s">
        <v>656</v>
      </c>
      <c r="B97" s="501" t="s">
        <v>646</v>
      </c>
      <c r="C97" s="501" t="str">
        <f>SUBSTITUTE(ADDRESS(1, MATCH(A97, 'Payroll Mar 2026'!$8:$8, 0), 4), "1", "")</f>
        <v>CX</v>
      </c>
      <c r="D97" s="61">
        <v>1620</v>
      </c>
      <c r="E97" s="62" t="s">
        <v>342</v>
      </c>
      <c r="F97" s="62"/>
      <c r="G97" s="62"/>
      <c r="H97" s="62" t="s">
        <v>657</v>
      </c>
      <c r="I97" s="277"/>
      <c r="K97" s="488"/>
    </row>
    <row r="98" spans="1:15">
      <c r="A98" s="62" t="s">
        <v>658</v>
      </c>
      <c r="B98" s="501" t="s">
        <v>646</v>
      </c>
      <c r="C98" s="501" t="str">
        <f>SUBSTITUTE(ADDRESS(1, MATCH(A98, 'Payroll Mar 2026'!$8:$8, 0), 4), "1", "")</f>
        <v>CY</v>
      </c>
      <c r="D98" s="61">
        <v>1625</v>
      </c>
      <c r="E98" s="62" t="s">
        <v>342</v>
      </c>
      <c r="F98" s="62"/>
      <c r="G98" s="62"/>
      <c r="H98" s="62" t="s">
        <v>659</v>
      </c>
      <c r="I98" s="277"/>
      <c r="K98" s="488"/>
    </row>
    <row r="99" spans="1:15" ht="57">
      <c r="A99" s="62" t="s">
        <v>660</v>
      </c>
      <c r="B99" s="501"/>
      <c r="C99" s="501" t="e">
        <f>SUBSTITUTE(ADDRESS(1, MATCH(A99, 'Payroll Mar 2026'!$8:$8, 0), 4), "1", "")</f>
        <v>#N/A</v>
      </c>
      <c r="D99" s="61">
        <v>1690</v>
      </c>
      <c r="E99" s="62" t="s">
        <v>357</v>
      </c>
      <c r="F99" s="62"/>
      <c r="G99" s="62"/>
      <c r="H99" s="62" t="s">
        <v>661</v>
      </c>
      <c r="I99" s="276" t="s">
        <v>662</v>
      </c>
      <c r="J99" s="276" t="s">
        <v>662</v>
      </c>
      <c r="K99" s="442" t="s">
        <v>663</v>
      </c>
      <c r="M99" t="s">
        <v>420</v>
      </c>
    </row>
    <row r="100" spans="1:15" ht="85">
      <c r="A100" s="651" t="s">
        <v>664</v>
      </c>
      <c r="B100" s="652"/>
      <c r="C100" s="652" t="str">
        <f>SUBSTITUTE(ADDRESS(1, MATCH(A100, 'Payroll Mar 2026'!$8:$8, 0), 4), "1", "")</f>
        <v>CZ</v>
      </c>
      <c r="D100" s="653">
        <v>1700</v>
      </c>
      <c r="E100" s="651" t="s">
        <v>357</v>
      </c>
      <c r="F100" s="651"/>
      <c r="G100" s="651"/>
      <c r="H100" s="651" t="s">
        <v>665</v>
      </c>
      <c r="I100" s="655" t="s">
        <v>666</v>
      </c>
      <c r="J100" s="655" t="s">
        <v>666</v>
      </c>
      <c r="K100" s="656" t="s">
        <v>667</v>
      </c>
      <c r="L100" t="inlineStr">
        <is>
          <t>Khớp chuẩn K.</t>
        </is>
      </c>
      <c s="657" r="M100" t="s">
        <v>420</v>
      </c>
      <c r="Q100" s="658" t="s">
        <v>668</v>
      </c>
    </row>
    <row r="101" spans="1:15">
      <c r="A101" s="62" t="s">
        <v>669</v>
      </c>
      <c r="B101" s="501"/>
      <c r="C101" s="501" t="str">
        <f>SUBSTITUTE(ADDRESS(1, MATCH(A101, 'Payroll Mar 2026'!$8:$8, 0), 4), "1", "")</f>
        <v>DB</v>
      </c>
      <c r="D101" s="61">
        <v>1701</v>
      </c>
      <c r="E101" s="62" t="s">
        <v>357</v>
      </c>
      <c r="F101" s="62"/>
      <c r="G101" s="62"/>
      <c r="H101" s="62" t="s">
        <v>670</v>
      </c>
      <c r="I101" s="276" t="s">
        <v>671</v>
      </c>
      <c r="J101" s="276" t="s">
        <v>671</v>
      </c>
      <c r="K101" s="442"/>
    </row>
    <row r="102" spans="1:15">
      <c r="A102" s="62" t="s">
        <v>672</v>
      </c>
      <c r="B102" s="501"/>
      <c r="C102" s="501" t="e">
        <f>SUBSTITUTE(ADDRESS(1, MATCH(A102, 'Payroll Mar 2026'!$8:$8, 0), 4), "1", "")</f>
        <v>#N/A</v>
      </c>
      <c r="D102" s="61">
        <v>1710</v>
      </c>
      <c r="E102" s="62" t="s">
        <v>342</v>
      </c>
      <c r="F102" s="62"/>
      <c r="G102" s="62"/>
      <c r="H102" s="62" t="s">
        <v>673</v>
      </c>
      <c r="I102" s="277"/>
      <c r="K102" s="488"/>
    </row>
    <row r="103" spans="1:15">
      <c r="A103" s="62" t="s">
        <v>674</v>
      </c>
      <c r="B103" s="501"/>
      <c r="C103" s="501" t="e">
        <f>SUBSTITUTE(ADDRESS(1, MATCH(A103, 'Payroll Mar 2026'!$8:$8, 0), 4), "1", "")</f>
        <v>#N/A</v>
      </c>
      <c r="D103" s="61">
        <v>1720</v>
      </c>
      <c r="E103" s="62" t="s">
        <v>357</v>
      </c>
      <c r="F103" s="62"/>
      <c r="G103" s="62"/>
      <c r="H103" s="62" t="s">
        <v>675</v>
      </c>
      <c r="I103" s="276" t="s">
        <v>676</v>
      </c>
      <c r="J103" s="276" t="s">
        <v>676</v>
      </c>
      <c r="K103" s="442"/>
      <c r="M103" t="s">
        <v>617</v>
      </c>
    </row>
    <row r="104" spans="1:15" ht="29">
      <c r="A104" s="651" t="s">
        <v>677</v>
      </c>
      <c r="B104" s="652" t="s">
        <v>678</v>
      </c>
      <c r="C104" s="652" t="str">
        <f>SUBSTITUTE(ADDRESS(1, MATCH(A104, 'Payroll Mar 2026'!$8:$8, 0), 4), "1", "")</f>
        <v>DD</v>
      </c>
      <c r="D104" s="653">
        <v>1800</v>
      </c>
      <c r="E104" s="651" t="s">
        <v>357</v>
      </c>
      <c r="F104" s="651"/>
      <c r="G104" s="651"/>
      <c r="H104" s="651" t="s">
        <v>679</v>
      </c>
      <c r="I104" s="654" t="s">
        <v>680</v>
      </c>
      <c r="J104" s="276" t="inlineStr">
        <is>
          <t>MIN([BASIC_SAL], [SI_CAP]) * [SI_ER_RATE]</t>
        </is>
      </c>
      <c r="K104" s="656" t="s">
        <v>681</v>
      </c>
      <c r="L104" t="inlineStr">
        <is>
          <t>BHXH DN = MIN(BASIC_SAL, 50.600.000)×17%. Đã sửa 46.8M→50.6M cho khớp trần chuẩn (K row104 ghi 46.8M là số cũ).</t>
        </is>
      </c>
      <c s="657" r="M104" t="s">
        <v>420</v>
      </c>
    </row>
    <row r="105" spans="1:15">
      <c r="A105" s="62" t="s">
        <v>682</v>
      </c>
      <c r="B105" s="501" t="s">
        <v>678</v>
      </c>
      <c r="C105" s="501" t="str">
        <f>SUBSTITUTE(ADDRESS(1, MATCH(A105, 'Payroll Mar 2026'!$8:$8, 0), 4), "1", "")</f>
        <v>DE</v>
      </c>
      <c r="D105" s="61">
        <v>1805</v>
      </c>
      <c r="E105" s="62" t="s">
        <v>342</v>
      </c>
      <c r="F105" s="62"/>
      <c r="G105" s="62"/>
      <c r="H105" s="62" t="s">
        <v>683</v>
      </c>
      <c r="I105" s="277"/>
      <c r="K105" s="488"/>
    </row>
    <row r="106" spans="1:15" ht="29">
      <c r="A106" s="638" t="s">
        <v>684</v>
      </c>
      <c r="B106" s="639" t="s">
        <v>678</v>
      </c>
      <c r="C106" s="639" t="str">
        <f>SUBSTITUTE(ADDRESS(1, MATCH(A106, 'Payroll Mar 2026'!$8:$8, 0), 4), "1", "")</f>
        <v>DF</v>
      </c>
      <c r="D106" s="640">
        <v>1810</v>
      </c>
      <c r="E106" s="638" t="s">
        <v>357</v>
      </c>
      <c r="F106" s="638"/>
      <c r="G106" s="638"/>
      <c r="H106" s="638" t="s">
        <v>685</v>
      </c>
      <c r="I106" s="673" t="s">
        <v>686</v>
      </c>
      <c r="J106" s="276" t="inlineStr">
        <is>
          <t>MIN([BASIC_SAL], [SI_CAP]) * [TNLD_ER_RATE]</t>
        </is>
      </c>
      <c r="K106" s="648" t="s">
        <v>687</v>
      </c>
      <c r="L106" t="inlineStr">
        <is>
          <t>BH TNLĐ-BNN DN = MIN(BASIC_SAL, 50.600.000)×0.5%. Trần theo BHXH = 50.6M.</t>
        </is>
      </c>
      <c s="649" r="M106" t="s">
        <v>420</v>
      </c>
    </row>
    <row r="107" spans="1:15">
      <c r="A107" s="62" t="s">
        <v>688</v>
      </c>
      <c r="B107" s="501" t="s">
        <v>678</v>
      </c>
      <c r="C107" s="501" t="str">
        <f>SUBSTITUTE(ADDRESS(1, MATCH(A107, 'Payroll Mar 2026'!$8:$8, 0), 4), "1", "")</f>
        <v>DG</v>
      </c>
      <c r="D107" s="61">
        <v>1815</v>
      </c>
      <c r="E107" s="62" t="s">
        <v>342</v>
      </c>
      <c r="F107" s="62"/>
      <c r="G107" s="62"/>
      <c r="H107" s="62" t="s">
        <v>689</v>
      </c>
      <c r="I107" s="496"/>
      <c r="K107" s="488"/>
    </row>
    <row r="108" spans="1:15" ht="29">
      <c r="A108" s="651" t="s">
        <v>690</v>
      </c>
      <c r="B108" s="652" t="s">
        <v>678</v>
      </c>
      <c r="C108" s="652" t="str">
        <f>SUBSTITUTE(ADDRESS(1, MATCH(A108, 'Payroll Mar 2026'!$8:$8, 0), 4), "1", "")</f>
        <v>DH</v>
      </c>
      <c r="D108" s="653">
        <v>1820</v>
      </c>
      <c r="E108" s="651" t="s">
        <v>357</v>
      </c>
      <c r="F108" s="651"/>
      <c r="G108" s="651"/>
      <c r="H108" s="651" t="s">
        <v>691</v>
      </c>
      <c r="I108" s="654" t="s">
        <v>692</v>
      </c>
      <c r="J108" s="276" t="inlineStr">
        <is>
          <t>MIN([BASIC_SAL], [SI_CAP]) * [HI_ER_RATE]</t>
        </is>
      </c>
      <c r="K108" s="656" t="s">
        <v>693</v>
      </c>
      <c r="L108" t="inlineStr">
        <is>
          <t>BHYT DN = MIN(BASIC_SAL, 50.600.000)×3%. Đã sửa 46.8M→50.6M.</t>
        </is>
      </c>
      <c s="657" r="M108" t="s">
        <v>420</v>
      </c>
    </row>
    <row r="109" spans="1:15">
      <c r="A109" s="62" t="s">
        <v>694</v>
      </c>
      <c r="B109" s="501" t="s">
        <v>678</v>
      </c>
      <c r="C109" s="501" t="str">
        <f>SUBSTITUTE(ADDRESS(1, MATCH(A109, 'Payroll Mar 2026'!$8:$8, 0), 4), "1", "")</f>
        <v>DI</v>
      </c>
      <c r="D109" s="61">
        <v>1825</v>
      </c>
      <c r="E109" s="62" t="s">
        <v>342</v>
      </c>
      <c r="F109" s="62"/>
      <c r="G109" s="62"/>
      <c r="H109" s="62" t="s">
        <v>695</v>
      </c>
      <c r="I109" s="277"/>
      <c r="K109" s="488"/>
    </row>
    <row r="110" spans="1:15" ht="29">
      <c r="A110" s="651" t="s">
        <v>696</v>
      </c>
      <c r="B110" s="652" t="s">
        <v>678</v>
      </c>
      <c r="C110" s="652" t="str">
        <f>SUBSTITUTE(ADDRESS(1, MATCH(A110, 'Payroll Mar 2026'!$8:$8, 0), 4), "1", "")</f>
        <v>DJ</v>
      </c>
      <c r="D110" s="653">
        <v>1830</v>
      </c>
      <c r="E110" s="651" t="s">
        <v>357</v>
      </c>
      <c r="F110" s="651"/>
      <c r="G110" s="651"/>
      <c r="H110" s="651" t="s">
        <v>697</v>
      </c>
      <c r="I110" s="655" t="s">
        <v>585</v>
      </c>
      <c r="J110" s="276" t="inlineStr">
        <is>
          <t>MIN([BASIC_SAL], [UI_CAP]) * [UI_ER_RATE]</t>
        </is>
      </c>
      <c r="K110" s="656" t="s">
        <v>698</v>
      </c>
      <c r="L110" t="inlineStr">
        <is>
          <t>Khớp chuẩn K.</t>
        </is>
      </c>
      <c s="657" r="M110" t="s">
        <v>420</v>
      </c>
    </row>
    <row r="111" spans="1:15">
      <c r="A111" s="62" t="s">
        <v>699</v>
      </c>
      <c r="B111" s="501" t="s">
        <v>678</v>
      </c>
      <c r="C111" s="501" t="str">
        <f>SUBSTITUTE(ADDRESS(1, MATCH(A111, 'Payroll Mar 2026'!$8:$8, 0), 4), "1", "")</f>
        <v>DK</v>
      </c>
      <c r="D111" s="61">
        <v>1835</v>
      </c>
      <c r="E111" s="62" t="s">
        <v>342</v>
      </c>
      <c r="F111" s="62"/>
      <c r="G111" s="62"/>
      <c r="H111" s="62" t="s">
        <v>700</v>
      </c>
      <c r="I111" s="277"/>
      <c r="K111" s="488"/>
    </row>
    <row r="112" spans="1:15" ht="43">
      <c r="A112" s="651" t="s">
        <v>701</v>
      </c>
      <c r="B112" s="652" t="s">
        <v>702</v>
      </c>
      <c r="C112" s="652" t="str">
        <f>SUBSTITUTE(ADDRESS(1, MATCH(A112, 'Payroll Mar 2026'!$8:$8, 0), 4), "1", "")</f>
        <v>DL</v>
      </c>
      <c r="D112" s="653">
        <v>1890</v>
      </c>
      <c r="E112" s="651" t="s">
        <v>357</v>
      </c>
      <c r="F112" s="651"/>
      <c r="G112" s="651"/>
      <c r="H112" s="651" t="s">
        <v>703</v>
      </c>
      <c r="I112" s="655" t="s">
        <v>704</v>
      </c>
      <c r="J112" s="655" t="s">
        <v>704</v>
      </c>
      <c r="K112" s="656" t="s">
        <v>705</v>
      </c>
      <c r="L112" t="inlineStr">
        <is>
          <t>Khớp chuẩn K.</t>
        </is>
      </c>
      <c s="657" r="M112" t="s">
        <v>420</v>
      </c>
    </row>
    <row r="113" spans="1:15" ht="85">
      <c r="A113" s="667" t="s">
        <v>706</v>
      </c>
      <c r="B113" s="668"/>
      <c r="C113" s="668" t="str">
        <f>SUBSTITUTE(ADDRESS(1, MATCH(A113, 'Payroll Mar 2026'!$8:$8, 0), 4), "1", "")</f>
        <v>DM</v>
      </c>
      <c r="D113" s="669">
        <v>1895</v>
      </c>
      <c r="E113" s="667" t="s">
        <v>357</v>
      </c>
      <c r="F113" s="667"/>
      <c r="G113" s="667"/>
      <c r="H113" s="667" t="s">
        <v>707</v>
      </c>
      <c r="I113" s="670" t="s">
        <v>708</v>
      </c>
      <c r="J113" s="276" t="inlineStr">
        <is>
          <t>IF([CONTRACT_TYPE]="Chính thức", [INS_SAL_BH] * [KPCD_RATE], 0)</t>
        </is>
      </c>
      <c r="K113" s="674" t="s">
        <v>709</v>
      </c>
      <c r="L113" t="inlineStr">
        <is>
          <t>SAI BASE: K = INS_SAL_BH × 2%, KHÔNG phải BASIC_SAL. Thử việc = 0? (HR chốt).</t>
        </is>
      </c>
      <c s="672" r="M113" t="s">
        <v>390</v>
      </c>
    </row>
    <row r="114" spans="1:15" ht="57">
      <c r="A114" s="667" t="s">
        <v>710</v>
      </c>
      <c r="B114" s="668"/>
      <c r="C114" s="668" t="str">
        <f>SUBSTITUTE(ADDRESS(1, MATCH(A114, 'Payroll Mar 2026'!$8:$8, 0), 4), "1", "")</f>
        <v>DN</v>
      </c>
      <c r="D114" s="669">
        <v>1999</v>
      </c>
      <c r="E114" s="667" t="s">
        <v>357</v>
      </c>
      <c r="F114" s="667"/>
      <c r="G114" s="667"/>
      <c r="H114" s="667" t="s">
        <v>711</v>
      </c>
      <c r="I114" s="675" t="s">
        <v>712</v>
      </c>
      <c r="J114" s="276" t="inlineStr">
        <is>
          <t>[NET_PAY] + [TOTAL_INS_CTY] + [KPCD_CTY]</t>
        </is>
      </c>
      <c r="K114" s="674" t="s">
        <v>713</v>
      </c>
      <c r="L114" t="inlineStr">
        <is>
          <t>K dùng NET_PAY ("Lương thực nhận") + TOTAL_INS_CTY + KPCD_CTY — KHÔNG phải GROSS như J.</t>
        </is>
      </c>
      <c s="672" r="M114" t="s">
        <v>390</v>
      </c>
    </row>
    <row r="115" spans="1:15">
      <c r="A115" s="62"/>
      <c r="B115" s="501"/>
      <c r="C115" s="501" t="e">
        <f>SUBSTITUTE(ADDRESS(1, MATCH(A115, 'Payroll Mar 2026'!$8:$8, 0), 4), "1", "")</f>
        <v>#N/A</v>
      </c>
      <c r="D115" s="61"/>
      <c r="E115" s="62" t="s">
        <v>342</v>
      </c>
      <c r="F115" s="62"/>
      <c r="G115" s="62"/>
      <c r="H115" s="62" t="s">
        <v>714</v>
      </c>
      <c r="I115" s="276"/>
    </row>
    <row r="116" spans="1:15" s="537" customFormat="1">
      <c r="A116" s="532"/>
      <c r="B116" s="533"/>
      <c r="C116" s="533" t="e">
        <f>SUBSTITUTE(ADDRESS(1, MATCH(A116, 'Payroll Mar 2026'!$8:$8, 0), 4), "1", "")</f>
        <v>#N/A</v>
      </c>
      <c r="D116" s="534"/>
      <c r="E116" s="532" t="s">
        <v>357</v>
      </c>
      <c r="F116" s="532"/>
      <c r="G116" s="532"/>
      <c r="H116" s="532" t="s">
        <v>715</v>
      </c>
      <c r="I116" s="530"/>
      <c r="K116" s="540"/>
      <c r="Q116" s="538"/>
    </row>
    <row r="117" spans="1:15" s="537" customFormat="1" ht="16">
      <c r="A117" s="532" t="s">
        <v>716</v>
      </c>
      <c r="B117" s="533" t="s">
        <v>717</v>
      </c>
      <c r="C117" s="533" t="str">
        <f>SUBSTITUTE(ADDRESS(1, MATCH(A117, 'Payroll Mar 2026'!$8:$8, 0), 4), "1", "")</f>
        <v>DQ</v>
      </c>
      <c r="D117" s="534"/>
      <c r="E117" s="532" t="s">
        <v>357</v>
      </c>
      <c r="F117" s="532"/>
      <c r="G117" s="532"/>
      <c r="H117" s="532" t="s">
        <v>718</v>
      </c>
      <c r="I117" s="530"/>
      <c r="K117" s="541" t="s">
        <v>719</v>
      </c>
      <c r="L117" t="inlineStr">
        <is>
          <t>K: missing formula — HR chưa cung cấp công thức trích trước.</t>
        </is>
      </c>
      <c r="Q117" s="538"/>
    </row>
    <row r="118" spans="1:15" s="537" customFormat="1" ht="16">
      <c r="A118" s="532" t="s">
        <v>720</v>
      </c>
      <c r="B118" s="533" t="s">
        <v>717</v>
      </c>
      <c r="C118" s="533" t="str">
        <f>SUBSTITUTE(ADDRESS(1, MATCH(A118, 'Payroll Mar 2026'!$8:$8, 0), 4), "1", "")</f>
        <v>DR</v>
      </c>
      <c r="D118" s="534"/>
      <c r="E118" s="532" t="s">
        <v>357</v>
      </c>
      <c r="F118" s="532"/>
      <c r="G118" s="532"/>
      <c r="H118" s="532" t="s">
        <v>721</v>
      </c>
      <c r="I118" s="530"/>
      <c r="K118" s="541" t="s">
        <v>719</v>
      </c>
      <c r="L118" t="inlineStr">
        <is>
          <t>K: missing formula — HR chưa cung cấp.</t>
        </is>
      </c>
      <c r="Q118" s="538"/>
    </row>
    <row r="119" spans="1:15" s="3" customFormat="1" ht="16">
      <c r="A119" s="278" t="s">
        <v>722</v>
      </c>
      <c r="B119" s="501" t="s">
        <v>717</v>
      </c>
      <c r="C119" s="502" t="str">
        <f>SUBSTITUTE(ADDRESS(1, MATCH(A119, 'Payroll Mar 2026'!$8:$8, 0), 4), "1", "")</f>
        <v>DS</v>
      </c>
      <c r="D119" s="495"/>
      <c r="E119" s="278" t="s">
        <v>357</v>
      </c>
      <c r="F119" s="278"/>
      <c r="G119" s="278"/>
      <c r="H119" s="278" t="s">
        <v>723</v>
      </c>
      <c r="I119" s="505"/>
      <c r="J119" s="276" t="inlineStr">
        <is>
          <t>IF([HAS_TERMINATION]=FALSE, [BONUS_SAVE_TRAVEL_AMT] / 12, 0)</t>
        </is>
      </c>
      <c r="K119" s="500" t="s">
        <v>724</v>
      </c>
      <c r="L119" t="inlineStr">
        <is>
          <t>K: nếu KHÔNG termination = 10.000.000/12. J đã điền, cần biến [HAS_TERMINATION] (input).</t>
        </is>
      </c>
      <c r="Q119" s="498"/>
    </row>
    <row r="120" spans="1:15" s="547" customFormat="1" ht="16">
      <c r="A120" s="542" t="s">
        <v>725</v>
      </c>
      <c r="B120" s="543" t="s">
        <v>717</v>
      </c>
      <c r="C120" s="543" t="str">
        <f>SUBSTITUTE(ADDRESS(1, MATCH(A120, 'Payroll Mar 2026'!$8:$8, 0), 4), "1", "")</f>
        <v>DT</v>
      </c>
      <c r="D120" s="544"/>
      <c r="E120" s="542" t="s">
        <v>357</v>
      </c>
      <c r="F120" s="542"/>
      <c r="G120" s="542"/>
      <c r="H120" s="542" t="s">
        <v>726</v>
      </c>
      <c r="I120" s="545"/>
      <c r="K120" s="546" t="s">
        <v>719</v>
      </c>
      <c r="L120" t="inlineStr">
        <is>
          <t>K: missing formula — HR chưa cung cấp.</t>
        </is>
      </c>
      <c r="Q120" s="548"/>
    </row>
    <row r="121" spans="1:15" s="537" customFormat="1" ht="16">
      <c r="A121" s="532" t="s">
        <v>727</v>
      </c>
      <c r="B121" s="533" t="s">
        <v>717</v>
      </c>
      <c r="C121" s="533" t="str">
        <f>SUBSTITUTE(ADDRESS(1, MATCH(A121, 'Payroll Mar 2026'!$8:$8, 0), 4), "1", "")</f>
        <v>DU</v>
      </c>
      <c r="D121" s="534"/>
      <c r="E121" s="532" t="s">
        <v>357</v>
      </c>
      <c r="F121" s="532"/>
      <c r="G121" s="532"/>
      <c r="H121" s="532" t="s">
        <v>728</v>
      </c>
      <c r="I121" s="530"/>
      <c r="K121" s="541" t="s">
        <v>719</v>
      </c>
      <c r="L121" t="inlineStr">
        <is>
          <t>K: missing formula — HR chưa cung cấp.</t>
        </is>
      </c>
      <c r="Q121" s="538"/>
    </row>
    <row r="122" spans="1:15" s="537" customFormat="1" ht="16">
      <c r="A122" s="532" t="s">
        <v>729</v>
      </c>
      <c r="B122" s="533" t="s">
        <v>717</v>
      </c>
      <c r="C122" s="533" t="str">
        <f>SUBSTITUTE(ADDRESS(1, MATCH(A122, 'Payroll Mar 2026'!$8:$8, 0), 4), "1", "")</f>
        <v>DV</v>
      </c>
      <c r="D122" s="534"/>
      <c r="E122" s="532" t="s">
        <v>357</v>
      </c>
      <c r="F122" s="532"/>
      <c r="G122" s="532"/>
      <c r="H122" s="532" t="s">
        <v>730</v>
      </c>
      <c r="I122" s="530"/>
      <c r="K122" s="541" t="s">
        <v>719</v>
      </c>
      <c r="L122" t="inlineStr">
        <is>
          <t>K: missing formula — HR chưa cung cấp.</t>
        </is>
      </c>
      <c r="Q122" s="538"/>
    </row>
    <row r="123" spans="1:15" s="3" customFormat="1" ht="16">
      <c r="A123" s="278" t="s">
        <v>731</v>
      </c>
      <c r="B123" s="501" t="s">
        <v>717</v>
      </c>
      <c r="C123" s="502" t="str">
        <f>SUBSTITUTE(ADDRESS(1, MATCH(A123, 'Payroll Mar 2026'!$8:$8, 0), 4), "1", "")</f>
        <v>DW</v>
      </c>
      <c r="D123" s="495"/>
      <c r="E123" s="278" t="s">
        <v>357</v>
      </c>
      <c r="F123" s="278"/>
      <c r="G123" s="278"/>
      <c r="H123" s="278" t="s">
        <v>732</v>
      </c>
      <c r="I123" s="505"/>
      <c r="J123" s="276" t="inlineStr">
        <is>
          <t>IF([HAS_TERMINATION]=FALSE, [CONTRACT_TOTAL] / 4, 0)</t>
        </is>
      </c>
      <c r="K123" s="500" t="s">
        <v>733</v>
      </c>
      <c r="L123" t="inlineStr">
        <is>
          <t>K: nếu KHÔNG termination = [CONTRACT_TOTAL]/4.</t>
        </is>
      </c>
      <c r="Q123" s="498" t="s">
        <v>734</v>
      </c>
    </row>
    <row r="124" spans="1:15" s="3" customFormat="1" ht="16">
      <c r="A124" s="278" t="s">
        <v>735</v>
      </c>
      <c r="B124" s="501" t="s">
        <v>717</v>
      </c>
      <c r="C124" s="502" t="str">
        <f>SUBSTITUTE(ADDRESS(1, MATCH(A124, 'Payroll Mar 2026'!$8:$8, 0), 4), "1", "")</f>
        <v>DX</v>
      </c>
      <c r="D124" s="495"/>
      <c r="E124" s="278" t="s">
        <v>357</v>
      </c>
      <c r="F124" s="278"/>
      <c r="G124" s="278"/>
      <c r="H124" s="278" t="s">
        <v>517</v>
      </c>
      <c r="I124" s="505"/>
      <c r="J124" s="276" t="inlineStr">
        <is>
          <t>IF([HAS_TERMINATION]=FALSE, [CONTRACT_TOTAL] / 12, 0)</t>
        </is>
      </c>
      <c r="K124" s="500" t="s">
        <v>736</v>
      </c>
      <c r="L124" t="inlineStr">
        <is>
          <t>K: nếu KHÔNG termination = [CONTRACT_TOTAL]/12.</t>
        </is>
      </c>
      <c r="Q124" s="498" t="s">
        <v>734</v>
      </c>
    </row>
    <row r="125" spans="1:15" ht="32">
      <c r="A125" s="278" t="s">
        <v>737</v>
      </c>
      <c r="B125" s="501" t="s">
        <v>717</v>
      </c>
      <c r="C125" s="502" t="str">
        <f>SUBSTITUTE(ADDRESS(1, MATCH(A125, 'Payroll Mar 2026'!$8:$8, 0), 4), "1", "")</f>
        <v>DY</v>
      </c>
      <c r="D125" s="495"/>
      <c r="E125" s="278" t="s">
        <v>357</v>
      </c>
      <c r="F125" s="278"/>
      <c r="G125" s="278"/>
      <c r="H125" s="278" t="s">
        <v>738</v>
      </c>
      <c r="I125" s="276"/>
      <c r="J125" s="276" t="inlineStr">
        <is>
          <t>IF([HAS_TERMINATION]=FALSE, MIN([CONTRACT_TOTAL], [BONUS_SAVE_TET_CAP]) / 12, 0)</t>
        </is>
      </c>
      <c r="K125" s="275" t="s">
        <v>739</v>
      </c>
      <c r="L125" t="inlineStr">
        <is>
          <t>K: nếu KHÔNG termination = MIN([CONTRACT_TOTAL], 15.000.000)/12.</t>
        </is>
      </c>
      <c r="Q125" s="498" t="s">
        <v>734</v>
      </c>
    </row>
    <row r="126" spans="1:15" ht="32">
      <c r="A126" s="278" t="s">
        <v>740</v>
      </c>
      <c r="B126" s="502"/>
      <c r="C126" s="502" t="str">
        <f>SUBSTITUTE(ADDRESS(1, MATCH(A126, 'Payroll Mar 2026'!$8:$8, 0), 4), "1", "")</f>
        <v>EE</v>
      </c>
      <c r="D126" s="495"/>
      <c r="E126" s="278" t="s">
        <v>357</v>
      </c>
      <c r="F126" s="278"/>
      <c r="G126" s="278"/>
      <c r="H126" s="278" t="s">
        <v>741</v>
      </c>
      <c r="I126" s="276"/>
      <c r="J126" s="276" t="inlineStr">
        <is>
          <t>[TOTAL_CTY_COST] + [BONUS_SAVE_TRAVEL] + [BONUS_SAVE_KPI] + [BONUS_SAVE_13M] + [BONUS_SAVE_TET]</t>
        </is>
      </c>
      <c r="K126" s="490" t="s">
        <v>742</v>
      </c>
      <c r="L126" t="inlineStr">
        <is>
          <t>K: = [TOTAL_CTY_COST] + trích trước Travel + KPI + 13M + Tết.</t>
        </is>
      </c>
    </row>
    <row r="127" spans="1:15">
      <c r="A127" s="62"/>
      <c r="B127" s="501"/>
      <c r="C127" s="501"/>
      <c r="D127" s="61"/>
      <c r="E127" s="62"/>
      <c r="F127" s="62"/>
      <c r="G127" s="62"/>
      <c r="H127" s="62"/>
      <c r="I127" s="276"/>
    </row>
  </sheetData>
  <autoFilter ref="A1:I126" xr:uid="{1EE9E9A7-8952-48BE-98F3-0565265A347C}"/>
  <mergeCells count="6">
    <mergeCell ref="Q14:Q15"/>
    <mergeCell ref="Q2:T2"/>
    <mergeCell ref="R4:R7"/>
    <mergeCell ref="Q4:Q9"/>
    <mergeCell ref="Q10:Q11"/>
    <mergeCell ref="Q12:Q13"/>
  </mergeCells>
  <dataValidations count="2">
    <dataValidation type="list" allowBlank="1" showInputMessage="1" showErrorMessage="1" sqref="L1:L1048576" xr:uid="{14E79BC2-1892-4A93-8030-58686BB84550}">
      <formula1>"Signoff, Need to Check"</formula1>
    </dataValidation>
    <dataValidation allowBlank="1" showInputMessage="1" showErrorMessage="1" sqref="M1:N1048576" xr:uid="{F62E63D4-1D5D-4481-B468-520F65912A23}"/>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28EBF-47D1-4201-A78E-17AD62A78879}">
  <sheetPr>
    <tabColor rgb="FF0070C0"/>
    <pageSetUpPr fitToPage="1"/>
  </sheetPr>
  <dimension ref="A1:FX143"/>
  <sheetViews>
    <sheetView topLeftCell="DG1" zoomScale="75" zoomScaleNormal="75" zoomScaleSheetLayoutView="80" workbookViewId="0">
      <selection activeCell="DP7" sqref="DP7"/>
    </sheetView>
  </sheetViews>
  <sheetFormatPr baseColWidth="10" defaultColWidth="9.1640625" defaultRowHeight="15"/>
  <cols>
    <col min="1" max="2" width="8.5" style="71" customWidth="1"/>
    <col min="3" max="3" width="8.83203125" style="71" customWidth="1"/>
    <col min="4" max="4" width="11.5" style="71" customWidth="1"/>
    <col min="5" max="5" width="20.5" style="71" customWidth="1"/>
    <col min="6" max="6" width="20.6640625" style="71" customWidth="1"/>
    <col min="7" max="7" width="13.5" style="71" customWidth="1"/>
    <col min="8" max="8" width="25.5" style="71" customWidth="1"/>
    <col min="9" max="9" width="24.6640625" style="71" customWidth="1"/>
    <col min="10" max="10" width="18.33203125" style="71" customWidth="1"/>
    <col min="11" max="11" width="14.33203125" style="71" customWidth="1"/>
    <col min="12" max="12" width="11.5" style="71" customWidth="1"/>
    <col min="13" max="13" width="13.33203125" style="71" customWidth="1"/>
    <col min="14" max="14" width="15.83203125" style="71" customWidth="1"/>
    <col min="15" max="16" width="17.1640625" style="71" customWidth="1"/>
    <col min="17" max="17" width="18.83203125" style="71" customWidth="1"/>
    <col min="18" max="18" width="19.5" style="71" customWidth="1"/>
    <col min="19" max="19" width="19.1640625" style="71" customWidth="1"/>
    <col min="20" max="20" width="20.5" style="71" customWidth="1"/>
    <col min="21" max="22" width="20" style="71" customWidth="1"/>
    <col min="23" max="23" width="12.5" style="71" customWidth="1"/>
    <col min="24" max="25" width="15.6640625" style="71" customWidth="1"/>
    <col min="26" max="26" width="13" style="71" customWidth="1"/>
    <col min="27" max="27" width="15.5" style="71" customWidth="1"/>
    <col min="28" max="29" width="12.83203125" style="71" customWidth="1"/>
    <col min="30" max="30" width="16.5" style="71" customWidth="1"/>
    <col min="31" max="31" width="15.5" style="71" customWidth="1"/>
    <col min="32" max="32" width="13" style="71" customWidth="1"/>
    <col min="33" max="34" width="13.5" style="71" customWidth="1"/>
    <col min="35" max="35" width="15.6640625" style="71" customWidth="1"/>
    <col min="36" max="36" width="30.6640625" style="71" customWidth="1"/>
    <col min="37" max="37" width="43.5" style="71" customWidth="1"/>
    <col min="38" max="38" width="17.6640625" style="71" customWidth="1"/>
    <col min="39" max="39" width="19.83203125" style="71" customWidth="1"/>
    <col min="40" max="40" width="24.83203125" style="71" customWidth="1"/>
    <col min="41" max="41" width="34.5" style="71" customWidth="1"/>
    <col min="42" max="42" width="29" style="71" customWidth="1"/>
    <col min="43" max="43" width="39.83203125" style="71" customWidth="1"/>
    <col min="44" max="44" width="29.5" style="71" customWidth="1"/>
    <col min="45" max="45" width="26.83203125" style="71" customWidth="1"/>
    <col min="46" max="46" width="22.5" style="71" customWidth="1"/>
    <col min="47" max="47" width="33.5" style="71" customWidth="1"/>
    <col min="48" max="48" width="27.33203125" style="71" customWidth="1"/>
    <col min="49" max="49" width="16.33203125" style="71" customWidth="1"/>
    <col min="50" max="50" width="29.83203125" style="71" customWidth="1"/>
    <col min="51" max="51" width="13.83203125" style="71" customWidth="1"/>
    <col min="52" max="52" width="18.5" style="71" customWidth="1"/>
    <col min="53" max="53" width="11.33203125" style="71" customWidth="1"/>
    <col min="54" max="54" width="37.83203125" style="71" customWidth="1"/>
    <col min="55" max="55" width="31.6640625" style="71" customWidth="1"/>
    <col min="56" max="56" width="16.83203125" style="71" customWidth="1"/>
    <col min="57" max="57" width="17.5" style="71" customWidth="1"/>
    <col min="58" max="58" width="16.83203125" style="71" customWidth="1"/>
    <col min="59" max="59" width="19.83203125" style="71" customWidth="1"/>
    <col min="60" max="60" width="27.5" style="71" customWidth="1"/>
    <col min="61" max="61" width="17.5" style="71" customWidth="1"/>
    <col min="62" max="62" width="20" style="71" customWidth="1"/>
    <col min="63" max="64" width="18.5" style="71" customWidth="1"/>
    <col min="65" max="65" width="19.5" style="71" customWidth="1"/>
    <col min="66" max="66" width="17.83203125" style="71" customWidth="1"/>
    <col min="67" max="67" width="17.5" style="71" customWidth="1"/>
    <col min="68" max="68" width="18.5" style="71" customWidth="1"/>
    <col min="69" max="69" width="17.33203125" style="71" customWidth="1"/>
    <col min="70" max="70" width="16.5" style="71" customWidth="1"/>
    <col min="71" max="72" width="18.1640625" style="71" customWidth="1"/>
    <col min="73" max="74" width="17.5" style="71" customWidth="1"/>
    <col min="75" max="76" width="21.5" style="71" customWidth="1"/>
    <col min="77" max="77" width="27.1640625" style="71" customWidth="1"/>
    <col min="78" max="78" width="17.33203125" style="71" customWidth="1"/>
    <col min="79" max="79" width="17.6640625" style="71" customWidth="1"/>
    <col min="80" max="80" width="15.5" style="71" customWidth="1"/>
    <col min="81" max="81" width="18.6640625" style="71" customWidth="1"/>
    <col min="82" max="82" width="17.33203125" style="71" customWidth="1"/>
    <col min="83" max="83" width="19.1640625" style="71" customWidth="1"/>
    <col min="84" max="84" width="19.83203125" style="71" customWidth="1"/>
    <col min="85" max="85" width="12.5" style="71" customWidth="1"/>
    <col min="86" max="86" width="22.5" style="71" customWidth="1"/>
    <col min="87" max="87" width="21.1640625" style="71" customWidth="1"/>
    <col min="88" max="88" width="20.33203125" style="71" customWidth="1"/>
    <col min="89" max="89" width="26.33203125" style="71" customWidth="1"/>
    <col min="90" max="90" width="19.5" style="71" customWidth="1"/>
    <col min="91" max="91" width="19.83203125" style="71" customWidth="1"/>
    <col min="92" max="92" width="21.6640625" style="71" customWidth="1"/>
    <col min="93" max="93" width="17.83203125" style="71" customWidth="1"/>
    <col min="94" max="94" width="16.5" style="71" customWidth="1"/>
    <col min="95" max="96" width="17.5" style="71" customWidth="1"/>
    <col min="97" max="97" width="18.5" style="71" customWidth="1"/>
    <col min="98" max="99" width="17.6640625" style="71" customWidth="1"/>
    <col min="100" max="100" width="15.33203125" style="71" customWidth="1"/>
    <col min="101" max="101" width="17.5" style="71" customWidth="1"/>
    <col min="102" max="103" width="20.5" style="71" customWidth="1"/>
    <col min="104" max="104" width="21" style="71" customWidth="1"/>
    <col min="105" max="105" width="21.33203125" style="71" customWidth="1"/>
    <col min="106" max="106" width="21" style="71" customWidth="1"/>
    <col min="107" max="107" width="26.1640625" style="71" customWidth="1"/>
    <col min="108" max="114" width="18.5" style="71" customWidth="1"/>
    <col min="115" max="115" width="17.5" style="71" customWidth="1"/>
    <col min="116" max="117" width="19.5" style="71" customWidth="1"/>
    <col min="118" max="118" width="20.1640625" style="71" customWidth="1"/>
    <col min="119" max="120" width="18.83203125" style="71" customWidth="1"/>
    <col min="121" max="121" width="15.5" style="71" customWidth="1"/>
    <col min="122" max="122" width="15.83203125" style="71" customWidth="1"/>
    <col min="123" max="123" width="21" style="71" customWidth="1"/>
    <col min="124" max="126" width="15.83203125" style="71" customWidth="1"/>
    <col min="127" max="127" width="19.33203125" style="71" customWidth="1"/>
    <col min="128" max="128" width="18.1640625" style="71" customWidth="1"/>
    <col min="129" max="129" width="26.83203125" style="71" customWidth="1"/>
    <col min="130" max="130" width="22.5" style="71" customWidth="1"/>
    <col min="131" max="131" width="14.33203125" style="71" customWidth="1"/>
    <col min="132" max="132" width="13.83203125" style="71" customWidth="1"/>
    <col min="133" max="133" width="23.5" style="71" customWidth="1"/>
    <col min="134" max="134" width="14.5" style="71" customWidth="1"/>
    <col min="135" max="135" width="21.5" style="71" customWidth="1"/>
    <col min="136" max="136" width="18" style="71" customWidth="1"/>
    <col min="137" max="137" width="28.5" style="71" customWidth="1"/>
    <col min="138" max="138" width="10.83203125" style="71" customWidth="1"/>
    <col min="139" max="139" width="12.5" style="71" customWidth="1"/>
    <col min="140" max="140" width="18" style="71" customWidth="1"/>
    <col min="141" max="141" width="38.33203125" style="71" customWidth="1"/>
    <col min="142" max="142" width="30.33203125" style="71" customWidth="1"/>
    <col min="143" max="143" width="26.5" style="71" customWidth="1"/>
    <col min="144" max="144" width="20.5" style="71" customWidth="1"/>
    <col min="145" max="145" width="23" style="71" customWidth="1"/>
    <col min="146" max="146" width="19.6640625" style="71" customWidth="1"/>
    <col min="147" max="147" width="19.83203125" style="71" customWidth="1"/>
    <col min="148" max="149" width="18.5" style="71" customWidth="1"/>
    <col min="150" max="150" width="12.5" style="71" customWidth="1"/>
    <col min="151" max="151" width="19.1640625" style="71" customWidth="1"/>
    <col min="152" max="152" width="43.33203125" style="71" customWidth="1"/>
    <col min="153" max="153" width="17.83203125" style="71" customWidth="1"/>
    <col min="154" max="154" width="13" style="71" customWidth="1"/>
    <col min="155" max="155" width="13.5" style="258" customWidth="1"/>
    <col min="156" max="156" width="12" style="71" customWidth="1"/>
    <col min="157" max="157" width="16.33203125" style="71" customWidth="1"/>
    <col min="158" max="158" width="18.5" style="71" customWidth="1"/>
    <col min="159" max="159" width="26.5" style="71" customWidth="1"/>
    <col min="160" max="162" width="9.33203125" style="71" bestFit="1" customWidth="1"/>
    <col min="163" max="163" width="16" style="71" bestFit="1" customWidth="1"/>
    <col min="164" max="167" width="9.1640625" style="71"/>
    <col min="168" max="168" width="13.5" style="71" bestFit="1" customWidth="1"/>
    <col min="169" max="171" width="9.1640625" style="71"/>
    <col min="172" max="174" width="15" style="71" bestFit="1" customWidth="1"/>
    <col min="175" max="178" width="9.1640625" style="71"/>
    <col min="179" max="179" width="16" style="71" bestFit="1" customWidth="1"/>
    <col min="180" max="16384" width="9.1640625" style="71"/>
  </cols>
  <sheetData>
    <row r="1" spans="1:180" ht="19.25" customHeight="1">
      <c r="A1" s="77"/>
      <c r="B1" s="78"/>
      <c r="C1" s="79"/>
      <c r="D1" s="78"/>
      <c r="E1" s="80" t="s">
        <v>743</v>
      </c>
      <c r="F1" s="81" t="e">
        <f>NETWORKDAYS.INTL(H1,H2,1)+NETWORKDAYS.INTL(H1,H2,"1111101")/2</f>
        <v>#VALUE!</v>
      </c>
      <c r="G1" s="69" t="s">
        <v>744</v>
      </c>
      <c r="H1" s="82" t="s">
        <v>745</v>
      </c>
      <c r="I1" s="83"/>
      <c r="J1" s="84"/>
      <c r="K1" s="85"/>
      <c r="L1" s="85"/>
      <c r="M1" s="86"/>
      <c r="N1" s="85"/>
      <c r="O1" s="86"/>
      <c r="P1" s="87"/>
      <c r="Q1" s="88"/>
      <c r="R1" s="88"/>
      <c r="S1" s="88"/>
      <c r="T1" s="88"/>
      <c r="U1" s="89"/>
      <c r="V1" s="89"/>
      <c r="W1" s="90"/>
      <c r="X1" s="91"/>
      <c r="Y1" s="92"/>
      <c r="Z1" s="92"/>
      <c r="AA1" s="92"/>
      <c r="AB1" s="92"/>
      <c r="AC1" s="92"/>
      <c r="AD1" s="92"/>
      <c r="AE1" s="92"/>
      <c r="AF1" s="92"/>
      <c r="AG1" s="92"/>
      <c r="AH1" s="92"/>
      <c r="AI1" s="92"/>
      <c r="AJ1" s="92"/>
      <c r="AK1" s="91"/>
      <c r="AL1" s="91"/>
      <c r="AM1" s="91"/>
      <c r="AN1" s="93"/>
      <c r="AO1" s="93"/>
      <c r="AP1" s="93"/>
      <c r="AQ1" s="93"/>
      <c r="AR1" s="93"/>
      <c r="AS1" s="93"/>
      <c r="AT1" s="94"/>
      <c r="AU1" s="93"/>
      <c r="AV1" s="93"/>
      <c r="AW1" s="93"/>
      <c r="AX1" s="93"/>
      <c r="AY1" s="93"/>
      <c r="AZ1" s="93"/>
      <c r="BA1" s="93"/>
      <c r="BB1" s="93"/>
      <c r="BC1" s="93"/>
      <c r="BD1" s="93"/>
      <c r="BE1" s="93"/>
      <c r="BF1" s="93"/>
      <c r="BG1" s="93"/>
      <c r="BH1" s="93"/>
      <c r="BI1" s="93"/>
      <c r="BJ1" s="91"/>
      <c r="BK1" s="93"/>
      <c r="BL1" s="93"/>
      <c r="BM1" s="93"/>
      <c r="BN1" s="93"/>
      <c r="BO1" s="93"/>
      <c r="BP1" s="93"/>
      <c r="BQ1" s="93"/>
      <c r="BR1" s="93"/>
      <c r="BS1" s="93"/>
      <c r="BT1" s="93"/>
      <c r="BU1" s="93"/>
      <c r="BV1" s="93"/>
      <c r="BW1" s="93"/>
      <c r="BX1" s="93"/>
      <c r="BY1" s="93"/>
      <c r="BZ1" s="93"/>
      <c r="CA1" s="95"/>
      <c r="CB1" s="95"/>
      <c r="CC1" s="93"/>
      <c r="CD1" s="93"/>
      <c r="CE1" s="93"/>
      <c r="CF1" s="93"/>
      <c r="CG1" s="95"/>
      <c r="CH1" s="93"/>
      <c r="CI1" s="93"/>
      <c r="CJ1" s="93"/>
      <c r="CK1" s="93"/>
      <c r="CL1" s="92"/>
      <c r="CM1" s="93"/>
      <c r="CN1" s="93"/>
      <c r="CO1" s="93"/>
      <c r="CP1" s="93"/>
      <c r="CQ1" s="93"/>
      <c r="CR1" s="93"/>
      <c r="CS1" s="93"/>
      <c r="CT1" s="93"/>
      <c r="CU1" s="93"/>
      <c r="CV1" s="93"/>
      <c r="CW1" s="93"/>
      <c r="CX1" s="93"/>
      <c r="CY1" s="93"/>
      <c r="CZ1" s="93"/>
      <c r="DA1" s="93"/>
      <c r="DB1" s="93"/>
      <c r="DC1" s="92"/>
      <c r="DD1" s="93"/>
      <c r="DE1" s="93"/>
      <c r="DF1" s="93"/>
      <c r="DG1" s="93"/>
      <c r="DH1" s="93"/>
      <c r="DI1" s="93"/>
      <c r="DJ1" s="93"/>
      <c r="DK1" s="93"/>
      <c r="DL1" s="93"/>
      <c r="DM1" s="93"/>
      <c r="DN1" s="93"/>
      <c r="DO1" s="96"/>
      <c r="DP1" s="97"/>
      <c r="DQ1" s="97"/>
      <c r="DR1" s="97"/>
      <c r="DS1" s="97"/>
      <c r="DT1" s="97"/>
      <c r="DU1" s="97"/>
      <c r="DV1" s="97"/>
      <c r="DW1" s="97"/>
      <c r="DX1" s="97"/>
      <c r="DY1" s="97"/>
      <c r="DZ1" s="97"/>
      <c r="EA1" s="98"/>
      <c r="EB1" s="99"/>
      <c r="EC1" s="99"/>
      <c r="ED1" s="99"/>
      <c r="EE1" s="97"/>
      <c r="EF1" s="70"/>
      <c r="EJ1" s="72"/>
      <c r="EK1" s="73"/>
      <c r="EL1" s="74"/>
      <c r="EN1" s="75"/>
      <c r="EP1" s="73"/>
      <c r="EQ1" s="73"/>
      <c r="ER1" s="73"/>
      <c r="ES1" s="73"/>
      <c r="ET1" s="73"/>
      <c r="EW1" s="76"/>
      <c r="EX1" s="76"/>
      <c r="EY1" s="71"/>
    </row>
    <row r="2" spans="1:180" ht="31.5" customHeight="1">
      <c r="A2" s="100"/>
      <c r="B2" s="101"/>
      <c r="C2" s="101"/>
      <c r="D2" s="101"/>
      <c r="E2" s="80" t="s">
        <v>746</v>
      </c>
      <c r="F2" s="81" t="e">
        <f>NETWORKDAYS.INTL(H1,H2,11)</f>
        <v>#VALUE!</v>
      </c>
      <c r="G2" s="80" t="s">
        <v>747</v>
      </c>
      <c r="H2" s="82" t="s">
        <v>745</v>
      </c>
      <c r="I2" s="101"/>
      <c r="J2" s="84"/>
      <c r="K2" s="102"/>
      <c r="L2" s="102"/>
      <c r="M2" s="102"/>
      <c r="N2" s="102"/>
      <c r="O2" s="102"/>
      <c r="P2" s="101"/>
      <c r="Q2" s="93"/>
      <c r="R2" s="93"/>
      <c r="S2" s="93"/>
      <c r="T2" s="93"/>
      <c r="U2" s="95">
        <f>U9 * 0.17</f>
        <v>8602000</v>
      </c>
      <c r="V2" s="95"/>
      <c r="W2" s="103"/>
      <c r="X2" s="104"/>
      <c r="Y2" s="95"/>
      <c r="Z2" s="95"/>
      <c r="AA2" s="95"/>
      <c r="AB2" s="95"/>
      <c r="AC2" s="95"/>
      <c r="AD2" s="95"/>
      <c r="AE2" s="95"/>
      <c r="AF2" s="95"/>
      <c r="AG2" s="95"/>
      <c r="AH2" s="95"/>
      <c r="AI2" s="95"/>
      <c r="AJ2" s="95"/>
      <c r="AK2" s="95"/>
      <c r="AL2" s="95"/>
      <c r="AM2" s="95"/>
      <c r="AN2" s="95"/>
      <c r="AO2" s="95"/>
      <c r="AP2" s="95"/>
      <c r="AQ2" s="105"/>
      <c r="AR2" s="95"/>
      <c r="AS2" s="95"/>
      <c r="AT2" s="106"/>
      <c r="AU2" s="95"/>
      <c r="AV2" s="106"/>
      <c r="AW2" s="106"/>
      <c r="AX2" s="106"/>
      <c r="AY2" s="106"/>
      <c r="AZ2" s="106"/>
      <c r="BA2" s="106"/>
      <c r="BB2" s="106"/>
      <c r="BC2" s="95"/>
      <c r="BD2" s="107"/>
      <c r="BE2" s="107"/>
      <c r="BF2" s="107"/>
      <c r="BG2" s="107"/>
      <c r="BH2" s="107"/>
      <c r="BI2" s="107"/>
      <c r="BJ2" s="108"/>
      <c r="BK2" s="107"/>
      <c r="BL2" s="107"/>
      <c r="BM2" s="107"/>
      <c r="BN2" s="107"/>
      <c r="BO2" s="107"/>
      <c r="BP2" s="107"/>
      <c r="BQ2" s="107"/>
      <c r="BR2" s="107"/>
      <c r="BS2" s="107"/>
      <c r="BT2" s="95"/>
      <c r="BU2" s="95"/>
      <c r="BV2" s="95"/>
      <c r="BW2" s="95"/>
      <c r="BX2" s="93"/>
      <c r="BY2" s="93"/>
      <c r="BZ2" s="93"/>
      <c r="CA2" s="93"/>
      <c r="CB2" s="93"/>
      <c r="CC2" s="93"/>
      <c r="CD2" s="93"/>
      <c r="CE2" s="93"/>
      <c r="CF2" s="93"/>
      <c r="CG2" s="95"/>
      <c r="CH2" s="93"/>
      <c r="CI2" s="93"/>
      <c r="CJ2" s="93"/>
      <c r="CK2" s="93"/>
      <c r="CL2" s="92"/>
      <c r="CM2" s="93"/>
      <c r="CN2" s="93"/>
      <c r="CO2" s="93"/>
      <c r="CP2" s="93"/>
      <c r="CQ2" s="93"/>
      <c r="CR2" s="93"/>
      <c r="CS2" s="93"/>
      <c r="CT2" s="93"/>
      <c r="CU2" s="93"/>
      <c r="CV2" s="93"/>
      <c r="CW2" s="93"/>
      <c r="CX2" s="93"/>
      <c r="CY2" s="93"/>
      <c r="CZ2" s="93"/>
      <c r="DA2" s="93"/>
      <c r="DB2" s="93"/>
      <c r="DC2" s="92"/>
      <c r="DD2" s="93"/>
      <c r="DE2" s="93"/>
      <c r="DF2" s="93"/>
      <c r="DG2" s="93"/>
      <c r="DH2" s="93"/>
      <c r="DI2" s="93"/>
      <c r="DJ2" s="109"/>
      <c r="DK2" s="109"/>
      <c r="DL2" s="109"/>
      <c r="DM2" s="109"/>
      <c r="DN2" s="109"/>
      <c r="DO2" s="96"/>
      <c r="DP2" s="97"/>
      <c r="DQ2" s="97"/>
      <c r="DR2" s="97"/>
      <c r="DS2" s="97"/>
      <c r="DT2" s="97"/>
      <c r="DU2" s="97"/>
      <c r="DV2" s="97"/>
      <c r="DW2" s="97"/>
      <c r="DX2" s="97"/>
      <c r="DY2" s="97"/>
      <c r="DZ2" s="97"/>
      <c r="EA2" s="98"/>
      <c r="EB2" s="99"/>
      <c r="EC2" s="99"/>
      <c r="ED2" s="99"/>
      <c r="EE2" s="97"/>
      <c r="EF2" s="70"/>
      <c r="EJ2" s="72"/>
      <c r="EK2" s="73"/>
      <c r="EL2" s="74"/>
      <c r="EN2" s="75"/>
      <c r="EP2" s="73"/>
      <c r="EQ2" s="73"/>
      <c r="ER2" s="73"/>
      <c r="ES2" s="73"/>
      <c r="ET2" s="73"/>
      <c r="EW2" s="76"/>
      <c r="EX2" s="76"/>
      <c r="EY2" s="71"/>
    </row>
    <row r="3" spans="1:180" s="149" customFormat="1" ht="28.5" customHeight="1">
      <c r="A3" s="110" t="s">
        <v>748</v>
      </c>
      <c r="B3" s="111"/>
      <c r="C3" s="111"/>
      <c r="D3" s="111"/>
      <c r="E3" s="112"/>
      <c r="F3" s="113"/>
      <c r="G3" s="114"/>
      <c r="H3" s="115"/>
      <c r="I3" s="116"/>
      <c r="J3" s="117"/>
      <c r="K3" s="118"/>
      <c r="L3" s="119"/>
      <c r="M3" s="119"/>
      <c r="N3" s="118"/>
      <c r="O3" s="118"/>
      <c r="P3" s="116"/>
      <c r="Q3" s="120"/>
      <c r="R3" s="120"/>
      <c r="S3" s="120"/>
      <c r="T3" s="120"/>
      <c r="U3" s="121"/>
      <c r="V3" s="121"/>
      <c r="W3" s="122"/>
      <c r="X3" s="123"/>
      <c r="Y3" s="122"/>
      <c r="Z3" s="122"/>
      <c r="AA3" s="121"/>
      <c r="AB3" s="121"/>
      <c r="AC3" s="121"/>
      <c r="AD3" s="121"/>
      <c r="AE3" s="121"/>
      <c r="AF3" s="121"/>
      <c r="AG3" s="124"/>
      <c r="AH3" s="124"/>
      <c r="AI3" s="121"/>
      <c r="AJ3" s="121"/>
      <c r="AK3" s="121"/>
      <c r="AL3" s="121"/>
      <c r="AM3" s="121"/>
      <c r="AN3" s="121"/>
      <c r="AO3" s="125">
        <f>AO4+AU4</f>
        <v>-990000</v>
      </c>
      <c r="AP3" s="125">
        <f>AP4+AV4</f>
        <v>1000000</v>
      </c>
      <c r="AQ3" s="126"/>
      <c r="AR3" s="121"/>
      <c r="AS3" s="121"/>
      <c r="AT3" s="127"/>
      <c r="AU3" s="121"/>
      <c r="AV3" s="127"/>
      <c r="AW3" s="127"/>
      <c r="AX3" s="127"/>
      <c r="AY3" s="127"/>
      <c r="AZ3" s="127"/>
      <c r="BA3" s="128"/>
      <c r="BB3" s="127"/>
      <c r="BC3" s="121"/>
      <c r="BD3" s="129"/>
      <c r="BE3" s="129"/>
      <c r="BF3" s="129"/>
      <c r="BG3" s="129"/>
      <c r="BH3" s="129"/>
      <c r="BI3" s="129"/>
      <c r="BJ3" s="130"/>
      <c r="BK3" s="129"/>
      <c r="BL3" s="129"/>
      <c r="BM3" s="129"/>
      <c r="BN3" s="129"/>
      <c r="BO3" s="129"/>
      <c r="BP3" s="129"/>
      <c r="BQ3" s="129"/>
      <c r="BR3" s="129"/>
      <c r="BS3" s="129"/>
      <c r="BT3" s="121"/>
      <c r="BU3" s="121"/>
      <c r="BV3" s="131"/>
      <c r="BW3" s="121"/>
      <c r="BX3" s="120"/>
      <c r="BY3" s="120"/>
      <c r="BZ3" s="120"/>
      <c r="CA3" s="120"/>
      <c r="CB3" s="120"/>
      <c r="CC3" s="120"/>
      <c r="CD3" s="120"/>
      <c r="CE3" s="132"/>
      <c r="CF3" s="120"/>
      <c r="CG3" s="121"/>
      <c r="CH3" s="120"/>
      <c r="CI3" s="120"/>
      <c r="CJ3" s="120"/>
      <c r="CK3" s="133"/>
      <c r="CL3" s="134"/>
      <c r="CM3" s="120"/>
      <c r="CN3" s="120"/>
      <c r="CO3" s="120">
        <f>-CO4+CW4</f>
        <v>-21049361</v>
      </c>
      <c r="CP3" s="120"/>
      <c r="CQ3" s="120"/>
      <c r="CR3" s="120"/>
      <c r="CS3" s="120"/>
      <c r="CT3" s="120"/>
      <c r="CU3" s="120"/>
      <c r="CV3" s="120"/>
      <c r="CW3" s="120"/>
      <c r="CX3" s="120"/>
      <c r="CY3" s="120">
        <f>CX4+CY4</f>
        <v>0</v>
      </c>
      <c r="CZ3" s="120"/>
      <c r="DA3" s="135">
        <f>DB4-CZ4</f>
        <v>0</v>
      </c>
      <c r="DB3" s="136"/>
      <c r="DC3" s="137"/>
      <c r="DD3" s="120"/>
      <c r="DE3" s="120"/>
      <c r="DF3" s="120"/>
      <c r="DG3" s="120"/>
      <c r="DH3" s="120"/>
      <c r="DI3" s="120"/>
      <c r="DJ3" s="138"/>
      <c r="DK3" s="138"/>
      <c r="DL3" s="139">
        <f>DL4+CE4</f>
        <v>16164000</v>
      </c>
      <c r="DM3" s="138"/>
      <c r="DN3" s="138"/>
      <c r="DO3" s="140"/>
      <c r="DP3" s="141"/>
      <c r="DQ3" s="141"/>
      <c r="DR3" s="141"/>
      <c r="DS3" s="137"/>
      <c r="DT3" s="142"/>
      <c r="DU3" s="142"/>
      <c r="DV3" s="142"/>
      <c r="DW3" s="143"/>
      <c r="DX3" s="143"/>
      <c r="DY3" s="144"/>
      <c r="DZ3" s="142"/>
      <c r="EA3" s="145"/>
      <c r="EB3" s="146"/>
      <c r="EC3" s="146"/>
      <c r="ED3" s="146"/>
      <c r="EE3" s="141"/>
      <c r="EF3" s="147"/>
      <c r="EG3" s="148"/>
      <c r="EH3" s="148"/>
      <c r="EJ3" s="150"/>
      <c r="EK3" s="151"/>
      <c r="EL3" s="152"/>
      <c r="EN3" s="153"/>
      <c r="EP3" s="151"/>
      <c r="EQ3" s="151"/>
      <c r="ER3" s="151"/>
      <c r="ES3" s="151"/>
      <c r="ET3" s="151"/>
      <c r="EV3" s="154" t="s">
        <v>749</v>
      </c>
      <c r="EW3" s="155"/>
      <c r="EX3" s="155"/>
      <c r="EY3" s="156"/>
    </row>
    <row r="4" spans="1:180" s="175" customFormat="1" ht="27" customHeight="1">
      <c r="A4" s="157"/>
      <c r="B4" s="158"/>
      <c r="C4" s="158"/>
      <c r="D4" s="158"/>
      <c r="E4" s="159"/>
      <c r="F4" s="160"/>
      <c r="G4" s="161"/>
      <c r="H4" s="162"/>
      <c r="I4" s="158"/>
      <c r="J4" s="163"/>
      <c r="K4" s="164"/>
      <c r="L4" s="165"/>
      <c r="M4" s="165"/>
      <c r="N4" s="166"/>
      <c r="O4" s="167"/>
      <c r="P4" s="168"/>
      <c r="Q4" s="169">
        <f t="shared" ref="Q4:AV4" si="0">SUBTOTAL(9,Q9:Q9)</f>
        <v>0</v>
      </c>
      <c r="R4" s="169">
        <f t="shared" si="0"/>
        <v>200000000</v>
      </c>
      <c r="S4" s="169">
        <f t="shared" si="0"/>
        <v>0</v>
      </c>
      <c r="T4" s="169">
        <f t="shared" si="0"/>
        <v>200000000</v>
      </c>
      <c r="U4" s="169">
        <f t="shared" si="0"/>
        <v>50600000</v>
      </c>
      <c r="V4" s="169">
        <f t="shared" si="0"/>
        <v>106200000</v>
      </c>
      <c r="W4" s="170">
        <f t="shared" si="0"/>
        <v>22</v>
      </c>
      <c r="X4" s="170">
        <f t="shared" si="0"/>
        <v>0</v>
      </c>
      <c r="Y4" s="170">
        <f t="shared" si="0"/>
        <v>19.5</v>
      </c>
      <c r="Z4" s="170">
        <f t="shared" si="0"/>
        <v>0</v>
      </c>
      <c r="AA4" s="170">
        <f t="shared" si="0"/>
        <v>2.5</v>
      </c>
      <c r="AB4" s="170">
        <f t="shared" si="0"/>
        <v>0</v>
      </c>
      <c r="AC4" s="170">
        <f t="shared" si="0"/>
        <v>0</v>
      </c>
      <c r="AD4" s="170">
        <f t="shared" si="0"/>
        <v>0</v>
      </c>
      <c r="AE4" s="170">
        <f t="shared" si="0"/>
        <v>0</v>
      </c>
      <c r="AF4" s="170">
        <f t="shared" si="0"/>
        <v>0</v>
      </c>
      <c r="AG4" s="170">
        <f t="shared" si="0"/>
        <v>0</v>
      </c>
      <c r="AH4" s="170">
        <f t="shared" si="0"/>
        <v>0</v>
      </c>
      <c r="AI4" s="170">
        <f t="shared" si="0"/>
        <v>22</v>
      </c>
      <c r="AJ4" s="134">
        <f t="shared" si="0"/>
        <v>0</v>
      </c>
      <c r="AK4" s="134">
        <f t="shared" si="0"/>
        <v>200000000</v>
      </c>
      <c r="AL4" s="134">
        <f t="shared" si="0"/>
        <v>0</v>
      </c>
      <c r="AM4" s="134">
        <f t="shared" si="0"/>
        <v>0</v>
      </c>
      <c r="AN4" s="134">
        <f t="shared" si="0"/>
        <v>200000000</v>
      </c>
      <c r="AO4" s="134">
        <f t="shared" si="0"/>
        <v>0</v>
      </c>
      <c r="AP4" s="134">
        <f t="shared" si="0"/>
        <v>0</v>
      </c>
      <c r="AQ4" s="169">
        <f t="shared" si="0"/>
        <v>25000000</v>
      </c>
      <c r="AR4" s="134">
        <f t="shared" si="0"/>
        <v>0</v>
      </c>
      <c r="AS4" s="134">
        <f t="shared" si="0"/>
        <v>0</v>
      </c>
      <c r="AT4" s="134">
        <f t="shared" si="0"/>
        <v>0</v>
      </c>
      <c r="AU4" s="134">
        <f t="shared" si="0"/>
        <v>-990000</v>
      </c>
      <c r="AV4" s="134">
        <f t="shared" si="0"/>
        <v>1000000</v>
      </c>
      <c r="AW4" s="134">
        <f t="shared" ref="AW4:CB4" si="1">SUBTOTAL(9,AW9:AW9)</f>
        <v>0</v>
      </c>
      <c r="AX4" s="134">
        <f t="shared" si="1"/>
        <v>0</v>
      </c>
      <c r="AY4" s="134">
        <f t="shared" si="1"/>
        <v>0</v>
      </c>
      <c r="AZ4" s="134">
        <f t="shared" si="1"/>
        <v>0</v>
      </c>
      <c r="BA4" s="134">
        <f t="shared" si="1"/>
        <v>0</v>
      </c>
      <c r="BB4" s="134">
        <f t="shared" si="1"/>
        <v>0</v>
      </c>
      <c r="BC4" s="134">
        <f t="shared" si="1"/>
        <v>0</v>
      </c>
      <c r="BD4" s="134">
        <f t="shared" si="1"/>
        <v>0</v>
      </c>
      <c r="BE4" s="134">
        <f t="shared" si="1"/>
        <v>0</v>
      </c>
      <c r="BF4" s="134">
        <f t="shared" si="1"/>
        <v>0</v>
      </c>
      <c r="BG4" s="134">
        <f t="shared" si="1"/>
        <v>0</v>
      </c>
      <c r="BH4" s="134">
        <f t="shared" si="1"/>
        <v>0</v>
      </c>
      <c r="BI4" s="134">
        <f t="shared" si="1"/>
        <v>0</v>
      </c>
      <c r="BJ4" s="134">
        <f t="shared" si="1"/>
        <v>0</v>
      </c>
      <c r="BK4" s="134">
        <f t="shared" si="1"/>
        <v>0</v>
      </c>
      <c r="BL4" s="134">
        <f t="shared" si="1"/>
        <v>0</v>
      </c>
      <c r="BM4" s="134">
        <f t="shared" si="1"/>
        <v>0</v>
      </c>
      <c r="BN4" s="134">
        <f t="shared" si="1"/>
        <v>0</v>
      </c>
      <c r="BO4" s="134">
        <f t="shared" si="1"/>
        <v>0</v>
      </c>
      <c r="BP4" s="134">
        <f t="shared" si="1"/>
        <v>0</v>
      </c>
      <c r="BQ4" s="134">
        <f t="shared" si="1"/>
        <v>0</v>
      </c>
      <c r="BR4" s="134">
        <f t="shared" si="1"/>
        <v>0</v>
      </c>
      <c r="BS4" s="134">
        <f t="shared" si="1"/>
        <v>0</v>
      </c>
      <c r="BT4" s="134">
        <f t="shared" si="1"/>
        <v>0</v>
      </c>
      <c r="BU4" s="134">
        <f t="shared" si="1"/>
        <v>0</v>
      </c>
      <c r="BV4" s="134">
        <f t="shared" si="1"/>
        <v>0</v>
      </c>
      <c r="BW4" s="134">
        <f t="shared" si="1"/>
        <v>225010000</v>
      </c>
      <c r="BX4" s="134">
        <f t="shared" si="1"/>
        <v>225000000</v>
      </c>
      <c r="BY4" s="134">
        <f t="shared" si="1"/>
        <v>3744000</v>
      </c>
      <c r="BZ4" s="134">
        <f t="shared" si="1"/>
        <v>0</v>
      </c>
      <c r="CA4" s="134">
        <f t="shared" si="1"/>
        <v>702000</v>
      </c>
      <c r="CB4" s="134">
        <f t="shared" si="1"/>
        <v>0</v>
      </c>
      <c r="CC4" s="134">
        <f t="shared" ref="CC4:DH4" si="2">SUBTOTAL(9,CC9:CC9)</f>
        <v>1062000</v>
      </c>
      <c r="CD4" s="134">
        <f t="shared" si="2"/>
        <v>0</v>
      </c>
      <c r="CE4" s="134">
        <f t="shared" si="2"/>
        <v>5508000</v>
      </c>
      <c r="CF4" s="134">
        <f t="shared" si="2"/>
        <v>15500000</v>
      </c>
      <c r="CG4" s="134">
        <f t="shared" si="2"/>
        <v>3</v>
      </c>
      <c r="CH4" s="134">
        <f t="shared" si="2"/>
        <v>18600000</v>
      </c>
      <c r="CI4" s="134">
        <f t="shared" si="2"/>
        <v>34100000</v>
      </c>
      <c r="CJ4" s="134">
        <f t="shared" si="2"/>
        <v>185392000</v>
      </c>
      <c r="CK4" s="134">
        <f t="shared" si="2"/>
        <v>50387200</v>
      </c>
      <c r="CL4" s="134">
        <f t="shared" si="2"/>
        <v>0</v>
      </c>
      <c r="CM4" s="134">
        <f t="shared" si="2"/>
        <v>50387200</v>
      </c>
      <c r="CN4" s="134">
        <f t="shared" si="2"/>
        <v>169114800</v>
      </c>
      <c r="CO4" s="134">
        <f t="shared" si="2"/>
        <v>21049361</v>
      </c>
      <c r="CP4" s="134">
        <f t="shared" si="2"/>
        <v>0</v>
      </c>
      <c r="CQ4" s="134">
        <f t="shared" si="2"/>
        <v>0</v>
      </c>
      <c r="CR4" s="134">
        <f t="shared" si="2"/>
        <v>0</v>
      </c>
      <c r="CS4" s="134">
        <f t="shared" si="2"/>
        <v>0</v>
      </c>
      <c r="CT4" s="134">
        <f t="shared" si="2"/>
        <v>234000</v>
      </c>
      <c r="CU4" s="134">
        <f t="shared" si="2"/>
        <v>0</v>
      </c>
      <c r="CV4" s="134">
        <f t="shared" si="2"/>
        <v>0</v>
      </c>
      <c r="CW4" s="134">
        <f t="shared" si="2"/>
        <v>0</v>
      </c>
      <c r="CX4" s="134">
        <f t="shared" si="2"/>
        <v>0</v>
      </c>
      <c r="CY4" s="134">
        <f t="shared" si="2"/>
        <v>0</v>
      </c>
      <c r="CZ4" s="134">
        <f t="shared" si="2"/>
        <v>189930161</v>
      </c>
      <c r="DA4" s="134">
        <f t="shared" si="2"/>
        <v>0</v>
      </c>
      <c r="DB4" s="134">
        <f t="shared" si="2"/>
        <v>189930161</v>
      </c>
      <c r="DC4" s="134">
        <f t="shared" si="2"/>
        <v>0</v>
      </c>
      <c r="DD4" s="134">
        <f t="shared" si="2"/>
        <v>7956000</v>
      </c>
      <c r="DE4" s="134">
        <f t="shared" si="2"/>
        <v>0</v>
      </c>
      <c r="DF4" s="134">
        <f t="shared" si="2"/>
        <v>234000</v>
      </c>
      <c r="DG4" s="134">
        <f t="shared" si="2"/>
        <v>0</v>
      </c>
      <c r="DH4" s="134">
        <f t="shared" si="2"/>
        <v>1404000</v>
      </c>
      <c r="DI4" s="134">
        <f t="shared" ref="DI4:DZ4" si="3">SUBTOTAL(9,DI9:DI9)</f>
        <v>0</v>
      </c>
      <c r="DJ4" s="134">
        <f t="shared" si="3"/>
        <v>1062000</v>
      </c>
      <c r="DK4" s="134">
        <f t="shared" si="3"/>
        <v>0</v>
      </c>
      <c r="DL4" s="134">
        <f t="shared" si="3"/>
        <v>10656000</v>
      </c>
      <c r="DM4" s="134">
        <f t="shared" si="3"/>
        <v>936000</v>
      </c>
      <c r="DN4" s="134">
        <f t="shared" si="3"/>
        <v>201522161</v>
      </c>
      <c r="DO4" s="134">
        <f t="shared" si="3"/>
        <v>0</v>
      </c>
      <c r="DP4" s="134">
        <f t="shared" si="3"/>
        <v>0</v>
      </c>
      <c r="DQ4" s="134">
        <f t="shared" si="3"/>
        <v>0</v>
      </c>
      <c r="DR4" s="134">
        <f t="shared" si="3"/>
        <v>0</v>
      </c>
      <c r="DS4" s="134">
        <f t="shared" si="3"/>
        <v>500000</v>
      </c>
      <c r="DT4" s="134">
        <f t="shared" si="3"/>
        <v>0</v>
      </c>
      <c r="DU4" s="134">
        <f t="shared" si="3"/>
        <v>0</v>
      </c>
      <c r="DV4" s="134">
        <f t="shared" si="3"/>
        <v>0</v>
      </c>
      <c r="DW4" s="134">
        <f t="shared" si="3"/>
        <v>50000000</v>
      </c>
      <c r="DX4" s="134">
        <f t="shared" si="3"/>
        <v>16666667</v>
      </c>
      <c r="DY4" s="134">
        <f t="shared" si="3"/>
        <v>1250000</v>
      </c>
      <c r="DZ4" s="134">
        <f t="shared" si="3"/>
        <v>0</v>
      </c>
      <c r="EA4" s="134"/>
      <c r="EB4" s="134"/>
      <c r="EC4" s="134"/>
      <c r="ED4" s="134"/>
      <c r="EE4" s="134">
        <f>SUBTOTAL(9,EE9:EE9)</f>
        <v>305018667</v>
      </c>
      <c r="EF4" s="134">
        <f>SUBTOTAL(9,EF9:EF9)</f>
        <v>0</v>
      </c>
      <c r="EG4" s="171"/>
      <c r="EH4" s="171"/>
      <c r="EI4" s="172">
        <f>SUBTOTAL(9,EI9:EI9)</f>
        <v>3</v>
      </c>
      <c r="EJ4" s="173"/>
      <c r="EK4" s="174"/>
      <c r="EL4" s="174"/>
      <c r="EN4" s="176"/>
      <c r="EP4" s="174"/>
      <c r="EQ4" s="174"/>
      <c r="ER4" s="174"/>
      <c r="ES4" s="174"/>
      <c r="ET4" s="174"/>
      <c r="EV4" s="154" t="s">
        <v>750</v>
      </c>
      <c r="EY4" s="177"/>
    </row>
    <row r="5" spans="1:180" s="179" customFormat="1" ht="43.5" customHeight="1">
      <c r="A5" s="591" t="s">
        <v>751</v>
      </c>
      <c r="B5" s="585" t="s">
        <v>752</v>
      </c>
      <c r="C5" s="589" t="s">
        <v>753</v>
      </c>
      <c r="D5" s="585" t="s">
        <v>754</v>
      </c>
      <c r="E5" s="589" t="s">
        <v>755</v>
      </c>
      <c r="F5" s="593" t="s">
        <v>756</v>
      </c>
      <c r="G5" s="593" t="s">
        <v>757</v>
      </c>
      <c r="H5" s="585" t="s">
        <v>758</v>
      </c>
      <c r="I5" s="585" t="s">
        <v>759</v>
      </c>
      <c r="J5" s="589" t="s">
        <v>760</v>
      </c>
      <c r="K5" s="585" t="s">
        <v>761</v>
      </c>
      <c r="L5" s="585" t="s">
        <v>762</v>
      </c>
      <c r="M5" s="585" t="s">
        <v>763</v>
      </c>
      <c r="N5" s="585" t="s">
        <v>764</v>
      </c>
      <c r="O5" s="585" t="s">
        <v>765</v>
      </c>
      <c r="P5" s="585" t="s">
        <v>766</v>
      </c>
      <c r="Q5" s="578" t="s">
        <v>767</v>
      </c>
      <c r="R5" s="579"/>
      <c r="S5" s="579"/>
      <c r="T5" s="584"/>
      <c r="U5" s="570" t="s">
        <v>768</v>
      </c>
      <c r="V5" s="570" t="s">
        <v>769</v>
      </c>
      <c r="W5" s="582" t="s">
        <v>770</v>
      </c>
      <c r="X5" s="587" t="s">
        <v>771</v>
      </c>
      <c r="Y5" s="587"/>
      <c r="Z5" s="587"/>
      <c r="AA5" s="587"/>
      <c r="AB5" s="587"/>
      <c r="AC5" s="587"/>
      <c r="AD5" s="587"/>
      <c r="AE5" s="587"/>
      <c r="AF5" s="587"/>
      <c r="AG5" s="587"/>
      <c r="AH5" s="587"/>
      <c r="AI5" s="587"/>
      <c r="AJ5" s="577" t="s">
        <v>772</v>
      </c>
      <c r="AK5" s="577"/>
      <c r="AL5" s="577"/>
      <c r="AM5" s="577"/>
      <c r="AN5" s="577"/>
      <c r="AO5" s="577" t="s">
        <v>773</v>
      </c>
      <c r="AP5" s="577"/>
      <c r="AQ5" s="577"/>
      <c r="AR5" s="577"/>
      <c r="AS5" s="577"/>
      <c r="AT5" s="577"/>
      <c r="AU5" s="577" t="s">
        <v>774</v>
      </c>
      <c r="AV5" s="577"/>
      <c r="AW5" s="577"/>
      <c r="AX5" s="577"/>
      <c r="AY5" s="577"/>
      <c r="AZ5" s="577"/>
      <c r="BA5" s="577" t="s">
        <v>775</v>
      </c>
      <c r="BB5" s="577"/>
      <c r="BC5" s="578" t="s">
        <v>776</v>
      </c>
      <c r="BD5" s="579"/>
      <c r="BE5" s="579"/>
      <c r="BF5" s="579"/>
      <c r="BG5" s="579"/>
      <c r="BH5" s="579"/>
      <c r="BI5" s="579"/>
      <c r="BJ5" s="579"/>
      <c r="BK5" s="579"/>
      <c r="BL5" s="588"/>
      <c r="BM5" s="584"/>
      <c r="BN5" s="577" t="s">
        <v>777</v>
      </c>
      <c r="BO5" s="577"/>
      <c r="BP5" s="577" t="s">
        <v>778</v>
      </c>
      <c r="BQ5" s="577"/>
      <c r="BR5" s="577"/>
      <c r="BS5" s="570" t="s">
        <v>779</v>
      </c>
      <c r="BT5" s="580" t="s">
        <v>780</v>
      </c>
      <c r="BU5" s="581"/>
      <c r="BV5" s="570" t="s">
        <v>781</v>
      </c>
      <c r="BW5" s="570" t="s">
        <v>782</v>
      </c>
      <c r="BX5" s="570" t="s">
        <v>783</v>
      </c>
      <c r="BY5" s="578" t="s">
        <v>784</v>
      </c>
      <c r="BZ5" s="579"/>
      <c r="CA5" s="579"/>
      <c r="CB5" s="579"/>
      <c r="CC5" s="579"/>
      <c r="CD5" s="579"/>
      <c r="CE5" s="584"/>
      <c r="CF5" s="577" t="s">
        <v>785</v>
      </c>
      <c r="CG5" s="577"/>
      <c r="CH5" s="577"/>
      <c r="CI5" s="577"/>
      <c r="CJ5" s="570" t="s">
        <v>786</v>
      </c>
      <c r="CK5" s="570" t="s">
        <v>787</v>
      </c>
      <c r="CL5" s="582" t="s">
        <v>788</v>
      </c>
      <c r="CM5" s="570" t="s">
        <v>789</v>
      </c>
      <c r="CN5" s="570" t="s">
        <v>790</v>
      </c>
      <c r="CO5" s="577" t="s">
        <v>791</v>
      </c>
      <c r="CP5" s="577"/>
      <c r="CQ5" s="577"/>
      <c r="CR5" s="577"/>
      <c r="CS5" s="577"/>
      <c r="CT5" s="578" t="s">
        <v>792</v>
      </c>
      <c r="CU5" s="579"/>
      <c r="CV5" s="579"/>
      <c r="CW5" s="579"/>
      <c r="CX5" s="579"/>
      <c r="CY5" s="579"/>
      <c r="CZ5" s="577" t="s">
        <v>793</v>
      </c>
      <c r="DA5" s="577"/>
      <c r="DB5" s="577" t="s">
        <v>794</v>
      </c>
      <c r="DC5" s="577"/>
      <c r="DD5" s="577" t="s">
        <v>795</v>
      </c>
      <c r="DE5" s="577"/>
      <c r="DF5" s="577"/>
      <c r="DG5" s="577"/>
      <c r="DH5" s="577"/>
      <c r="DI5" s="577"/>
      <c r="DJ5" s="577"/>
      <c r="DK5" s="577"/>
      <c r="DL5" s="577"/>
      <c r="DM5" s="577"/>
      <c r="DN5" s="577"/>
      <c r="DO5" s="574" t="s">
        <v>714</v>
      </c>
      <c r="DP5" s="572" t="s">
        <v>715</v>
      </c>
      <c r="DQ5" s="576" t="s">
        <v>796</v>
      </c>
      <c r="DR5" s="576"/>
      <c r="DS5" s="576"/>
      <c r="DT5" s="576"/>
      <c r="DU5" s="576"/>
      <c r="DV5" s="576"/>
      <c r="DW5" s="576"/>
      <c r="DX5" s="576"/>
      <c r="DY5" s="576"/>
      <c r="DZ5" s="572" t="s">
        <v>797</v>
      </c>
      <c r="EA5" s="568" t="s">
        <v>798</v>
      </c>
      <c r="EB5" s="568" t="s">
        <v>799</v>
      </c>
      <c r="EC5" s="568" t="s">
        <v>800</v>
      </c>
      <c r="ED5" s="568" t="s">
        <v>801</v>
      </c>
      <c r="EE5" s="568" t="s">
        <v>741</v>
      </c>
      <c r="EF5" s="70"/>
      <c r="EG5" s="178"/>
      <c r="EH5" s="178"/>
      <c r="EJ5" s="180"/>
      <c r="EK5" s="181"/>
      <c r="EL5" s="182"/>
      <c r="EN5" s="183"/>
      <c r="EO5" s="154" t="s">
        <v>802</v>
      </c>
      <c r="EP5" s="181"/>
      <c r="EQ5" s="181"/>
      <c r="ER5" s="181"/>
      <c r="ES5" s="181"/>
      <c r="ET5" s="181"/>
      <c r="EY5" s="184"/>
    </row>
    <row r="6" spans="1:180" s="198" customFormat="1" ht="61.5" customHeight="1">
      <c r="A6" s="592"/>
      <c r="B6" s="586"/>
      <c r="C6" s="590"/>
      <c r="D6" s="586"/>
      <c r="E6" s="590"/>
      <c r="F6" s="594"/>
      <c r="G6" s="594"/>
      <c r="H6" s="586"/>
      <c r="I6" s="586"/>
      <c r="J6" s="590"/>
      <c r="K6" s="586"/>
      <c r="L6" s="586"/>
      <c r="M6" s="586"/>
      <c r="N6" s="586"/>
      <c r="O6" s="586"/>
      <c r="P6" s="586"/>
      <c r="Q6" s="444" t="s">
        <v>417</v>
      </c>
      <c r="R6" s="444" t="s">
        <v>423</v>
      </c>
      <c r="S6" s="444" t="s">
        <v>803</v>
      </c>
      <c r="T6" s="444" t="s">
        <v>403</v>
      </c>
      <c r="U6" s="571"/>
      <c r="V6" s="571"/>
      <c r="W6" s="583"/>
      <c r="X6" s="445" t="s">
        <v>804</v>
      </c>
      <c r="Y6" s="445" t="s">
        <v>805</v>
      </c>
      <c r="Z6" s="445" t="s">
        <v>360</v>
      </c>
      <c r="AA6" s="445" t="s">
        <v>806</v>
      </c>
      <c r="AB6" s="445" t="s">
        <v>807</v>
      </c>
      <c r="AC6" s="445" t="s">
        <v>808</v>
      </c>
      <c r="AD6" s="445" t="s">
        <v>809</v>
      </c>
      <c r="AE6" s="445" t="s">
        <v>810</v>
      </c>
      <c r="AF6" s="445" t="s">
        <v>811</v>
      </c>
      <c r="AG6" s="445" t="s">
        <v>812</v>
      </c>
      <c r="AH6" s="445" t="s">
        <v>813</v>
      </c>
      <c r="AI6" s="445" t="s">
        <v>814</v>
      </c>
      <c r="AJ6" s="445" t="s">
        <v>815</v>
      </c>
      <c r="AK6" s="445" t="s">
        <v>423</v>
      </c>
      <c r="AL6" s="445" t="s">
        <v>803</v>
      </c>
      <c r="AM6" s="445" t="s">
        <v>439</v>
      </c>
      <c r="AN6" s="444" t="s">
        <v>434</v>
      </c>
      <c r="AO6" s="444" t="s">
        <v>816</v>
      </c>
      <c r="AP6" s="444" t="s">
        <v>817</v>
      </c>
      <c r="AQ6" s="444" t="s">
        <v>818</v>
      </c>
      <c r="AR6" s="444" t="s">
        <v>819</v>
      </c>
      <c r="AS6" s="444" t="s">
        <v>820</v>
      </c>
      <c r="AT6" s="444" t="s">
        <v>821</v>
      </c>
      <c r="AU6" s="444" t="s">
        <v>816</v>
      </c>
      <c r="AV6" s="444" t="s">
        <v>817</v>
      </c>
      <c r="AW6" s="444" t="s">
        <v>818</v>
      </c>
      <c r="AX6" s="444" t="s">
        <v>819</v>
      </c>
      <c r="AY6" s="444" t="s">
        <v>820</v>
      </c>
      <c r="AZ6" s="444" t="s">
        <v>821</v>
      </c>
      <c r="BA6" s="444" t="s">
        <v>822</v>
      </c>
      <c r="BB6" s="444" t="s">
        <v>823</v>
      </c>
      <c r="BC6" s="447" t="s">
        <v>824</v>
      </c>
      <c r="BD6" s="448" t="s">
        <v>825</v>
      </c>
      <c r="BE6" s="447" t="s">
        <v>826</v>
      </c>
      <c r="BF6" s="448" t="s">
        <v>827</v>
      </c>
      <c r="BG6" s="447" t="s">
        <v>828</v>
      </c>
      <c r="BH6" s="449" t="s">
        <v>829</v>
      </c>
      <c r="BI6" s="447" t="s">
        <v>830</v>
      </c>
      <c r="BJ6" s="450" t="s">
        <v>831</v>
      </c>
      <c r="BK6" s="447" t="s">
        <v>832</v>
      </c>
      <c r="BL6" s="447" t="s">
        <v>833</v>
      </c>
      <c r="BM6" s="447" t="s">
        <v>834</v>
      </c>
      <c r="BN6" s="451" t="s">
        <v>835</v>
      </c>
      <c r="BO6" s="451" t="s">
        <v>532</v>
      </c>
      <c r="BP6" s="446" t="s">
        <v>836</v>
      </c>
      <c r="BQ6" s="446" t="s">
        <v>541</v>
      </c>
      <c r="BR6" s="446" t="s">
        <v>837</v>
      </c>
      <c r="BS6" s="571"/>
      <c r="BT6" s="444" t="s">
        <v>838</v>
      </c>
      <c r="BU6" s="444" t="s">
        <v>839</v>
      </c>
      <c r="BV6" s="571"/>
      <c r="BW6" s="571"/>
      <c r="BX6" s="571"/>
      <c r="BY6" s="444" t="s">
        <v>840</v>
      </c>
      <c r="BZ6" s="444" t="s">
        <v>841</v>
      </c>
      <c r="CA6" s="444" t="s">
        <v>842</v>
      </c>
      <c r="CB6" s="444" t="s">
        <v>843</v>
      </c>
      <c r="CC6" s="444" t="s">
        <v>844</v>
      </c>
      <c r="CD6" s="444" t="s">
        <v>845</v>
      </c>
      <c r="CE6" s="444" t="s">
        <v>846</v>
      </c>
      <c r="CF6" s="451" t="s">
        <v>847</v>
      </c>
      <c r="CG6" s="451" t="s">
        <v>848</v>
      </c>
      <c r="CH6" s="451" t="s">
        <v>785</v>
      </c>
      <c r="CI6" s="451" t="s">
        <v>849</v>
      </c>
      <c r="CJ6" s="571"/>
      <c r="CK6" s="571"/>
      <c r="CL6" s="583"/>
      <c r="CM6" s="571"/>
      <c r="CN6" s="571"/>
      <c r="CO6" s="451" t="s">
        <v>850</v>
      </c>
      <c r="CP6" s="451" t="s">
        <v>851</v>
      </c>
      <c r="CQ6" s="451" t="s">
        <v>852</v>
      </c>
      <c r="CR6" s="451" t="s">
        <v>853</v>
      </c>
      <c r="CS6" s="444" t="s">
        <v>854</v>
      </c>
      <c r="CT6" s="451" t="s">
        <v>855</v>
      </c>
      <c r="CU6" s="444" t="s">
        <v>856</v>
      </c>
      <c r="CV6" s="451" t="s">
        <v>857</v>
      </c>
      <c r="CW6" s="444" t="s">
        <v>858</v>
      </c>
      <c r="CX6" s="256" t="s">
        <v>859</v>
      </c>
      <c r="CY6" s="256" t="s">
        <v>860</v>
      </c>
      <c r="CZ6" s="444" t="s">
        <v>861</v>
      </c>
      <c r="DA6" s="444" t="s">
        <v>862</v>
      </c>
      <c r="DB6" s="444" t="s">
        <v>861</v>
      </c>
      <c r="DC6" s="452" t="s">
        <v>863</v>
      </c>
      <c r="DD6" s="444" t="s">
        <v>864</v>
      </c>
      <c r="DE6" s="444" t="s">
        <v>865</v>
      </c>
      <c r="DF6" s="444" t="s">
        <v>866</v>
      </c>
      <c r="DG6" s="444" t="s">
        <v>867</v>
      </c>
      <c r="DH6" s="444" t="s">
        <v>868</v>
      </c>
      <c r="DI6" s="444" t="s">
        <v>869</v>
      </c>
      <c r="DJ6" s="444" t="s">
        <v>844</v>
      </c>
      <c r="DK6" s="444" t="s">
        <v>845</v>
      </c>
      <c r="DL6" s="451" t="s">
        <v>703</v>
      </c>
      <c r="DM6" s="451" t="s">
        <v>870</v>
      </c>
      <c r="DN6" s="451" t="s">
        <v>711</v>
      </c>
      <c r="DO6" s="575"/>
      <c r="DP6" s="573"/>
      <c r="DQ6" s="453" t="s">
        <v>718</v>
      </c>
      <c r="DR6" s="443" t="s">
        <v>721</v>
      </c>
      <c r="DS6" s="443" t="s">
        <v>723</v>
      </c>
      <c r="DT6" s="443" t="s">
        <v>726</v>
      </c>
      <c r="DU6" s="453" t="s">
        <v>728</v>
      </c>
      <c r="DV6" s="453" t="s">
        <v>871</v>
      </c>
      <c r="DW6" s="454" t="s">
        <v>732</v>
      </c>
      <c r="DX6" s="443" t="s">
        <v>517</v>
      </c>
      <c r="DY6" s="443" t="s">
        <v>738</v>
      </c>
      <c r="DZ6" s="573"/>
      <c r="EA6" s="569"/>
      <c r="EB6" s="569"/>
      <c r="EC6" s="569"/>
      <c r="ED6" s="569"/>
      <c r="EE6" s="569"/>
      <c r="EF6" s="186" t="s">
        <v>872</v>
      </c>
      <c r="EG6" s="187" t="s">
        <v>873</v>
      </c>
      <c r="EH6" s="187" t="s">
        <v>874</v>
      </c>
      <c r="EI6" s="188" t="s">
        <v>875</v>
      </c>
      <c r="EJ6" s="189" t="s">
        <v>876</v>
      </c>
      <c r="EK6" s="190" t="s">
        <v>877</v>
      </c>
      <c r="EL6" s="190" t="s">
        <v>878</v>
      </c>
      <c r="EM6" s="190" t="s">
        <v>879</v>
      </c>
      <c r="EN6" s="191" t="s">
        <v>880</v>
      </c>
      <c r="EO6" s="192" t="s">
        <v>881</v>
      </c>
      <c r="EP6" s="193" t="s">
        <v>882</v>
      </c>
      <c r="EQ6" s="194" t="s">
        <v>883</v>
      </c>
      <c r="ER6" s="194" t="s">
        <v>884</v>
      </c>
      <c r="ES6" s="194" t="s">
        <v>885</v>
      </c>
      <c r="ET6" s="195" t="s">
        <v>886</v>
      </c>
      <c r="EU6" s="196" t="s">
        <v>887</v>
      </c>
      <c r="EV6" s="196" t="s">
        <v>888</v>
      </c>
      <c r="EW6" s="197" t="s">
        <v>889</v>
      </c>
      <c r="EX6" s="197" t="s">
        <v>890</v>
      </c>
      <c r="EY6" s="197" t="s">
        <v>891</v>
      </c>
      <c r="EZ6" s="197" t="s">
        <v>892</v>
      </c>
      <c r="FA6" s="197"/>
      <c r="FB6" s="197"/>
      <c r="FC6" s="197"/>
    </row>
    <row r="7" spans="1:180" s="207" customFormat="1" ht="18.75" customHeight="1">
      <c r="A7" s="199"/>
      <c r="B7" s="199"/>
      <c r="C7" s="199"/>
      <c r="D7" s="199"/>
      <c r="E7" s="199"/>
      <c r="F7" s="199"/>
      <c r="G7" s="199"/>
      <c r="H7" s="199"/>
      <c r="I7" s="199"/>
      <c r="J7" s="199"/>
      <c r="K7" s="199"/>
      <c r="L7" s="199"/>
      <c r="M7" s="199"/>
      <c r="N7" s="199"/>
      <c r="O7" s="199"/>
      <c r="P7" s="199"/>
      <c r="Q7" s="199" t="str">
        <f>VLOOKUP(Q8,'Payroll structure'!$A$2:$E$126,5,FALSE)</f>
        <v>input</v>
      </c>
      <c r="R7" s="199" t="str">
        <f>VLOOKUP(R8,'Payroll structure'!$A$2:$E$126,5,FALSE)</f>
        <v>input</v>
      </c>
      <c r="S7" s="199" t="str">
        <f>VLOOKUP(S8,'Payroll structure'!$A$2:$E$126,5,FALSE)</f>
        <v>input</v>
      </c>
      <c r="T7" s="199" t="str">
        <f>VLOOKUP(T8,'Payroll structure'!$A$2:$E$126,5,FALSE)</f>
        <v>formula</v>
      </c>
      <c r="U7" s="199" t="str">
        <f>VLOOKUP(U8,'Payroll structure'!$A$2:$E$126,5,FALSE)</f>
        <v>formula</v>
      </c>
      <c r="V7" s="199" t="str">
        <f>VLOOKUP(V8,'Payroll structure'!$A$2:$E$126,5,FALSE)</f>
        <v>formula</v>
      </c>
      <c r="W7" s="199" t="str">
        <f>VLOOKUP(W8,'Payroll structure'!$A$2:$E$126,5,FALSE)</f>
        <v>input</v>
      </c>
      <c r="X7" s="199" t="str">
        <f>VLOOKUP(X8,'Payroll structure'!$A$2:$E$126,5,FALSE)</f>
        <v>input</v>
      </c>
      <c r="Y7" s="199" t="str">
        <f>VLOOKUP(Y8,'Payroll structure'!$A$2:$E$126,5,FALSE)</f>
        <v>input</v>
      </c>
      <c r="Z7" s="199" t="str">
        <f>VLOOKUP(Z8,'Payroll structure'!$A$2:$E$126,5,FALSE)</f>
        <v>input</v>
      </c>
      <c r="AA7" s="199" t="str">
        <f>VLOOKUP(AA8,'Payroll structure'!$A$2:$E$126,5,FALSE)</f>
        <v>input</v>
      </c>
      <c r="AB7" s="199" t="str">
        <f>VLOOKUP(AB8,'Payroll structure'!$A$2:$E$126,5,FALSE)</f>
        <v>input</v>
      </c>
      <c r="AC7" s="199" t="e">
        <f>VLOOKUP(AC8,'Payroll structure'!$A$2:$E$126,5,FALSE)</f>
        <v>#N/A</v>
      </c>
      <c r="AD7" s="199" t="e">
        <f>VLOOKUP(AD8,'Payroll structure'!$A$2:$E$126,5,FALSE)</f>
        <v>#N/A</v>
      </c>
      <c r="AE7" s="199" t="str">
        <f>VLOOKUP(AE8,'Payroll structure'!$A$2:$E$126,5,FALSE)</f>
        <v>input</v>
      </c>
      <c r="AF7" s="199" t="str">
        <f>VLOOKUP(AF8,'Payroll structure'!$A$2:$E$126,5,FALSE)</f>
        <v>input</v>
      </c>
      <c r="AG7" s="199" t="str">
        <f>VLOOKUP(AG8,'Payroll structure'!$A$2:$E$126,5,FALSE)</f>
        <v>input</v>
      </c>
      <c r="AH7" s="199" t="e">
        <f>VLOOKUP(AH8,'Payroll structure'!$A$2:$E$126,5,FALSE)</f>
        <v>#N/A</v>
      </c>
      <c r="AI7" s="199" t="str">
        <f>VLOOKUP(AI8,'Payroll structure'!$A$2:$E$126,5,FALSE)</f>
        <v>formula</v>
      </c>
      <c r="AJ7" s="199" t="str">
        <f>VLOOKUP(AJ8,'Payroll structure'!$A$2:$E$126,5,FALSE)</f>
        <v>formula</v>
      </c>
      <c r="AK7" s="199" t="str">
        <f>VLOOKUP(AK8,'Payroll structure'!$A$2:$E$126,5,FALSE)</f>
        <v>formula</v>
      </c>
      <c r="AL7" s="199" t="str">
        <f>VLOOKUP(AL8,'Payroll structure'!$A$2:$E$126,5,FALSE)</f>
        <v>formula</v>
      </c>
      <c r="AM7" s="199" t="str">
        <f>VLOOKUP(AM8,'Payroll structure'!$A$2:$E$126,5,FALSE)</f>
        <v>formula</v>
      </c>
      <c r="AN7" s="199" t="str">
        <f>VLOOKUP(AN8,'Payroll structure'!$A$2:$E$126,5,FALSE)</f>
        <v>formula</v>
      </c>
      <c r="AO7" s="199" t="str">
        <f>VLOOKUP(AO8,'Payroll structure'!$A$2:$E$126,5,FALSE)</f>
        <v>formula</v>
      </c>
      <c r="AP7" s="199" t="str">
        <f>VLOOKUP(AP8,'Payroll structure'!$A$2:$E$126,5,FALSE)</f>
        <v>input</v>
      </c>
      <c r="AQ7" s="199" t="str">
        <f>VLOOKUP(AQ8,'Payroll structure'!$A$2:$E$126,5,FALSE)</f>
        <v>input</v>
      </c>
      <c r="AR7" s="199" t="str">
        <f>VLOOKUP(AR8,'Payroll structure'!$A$2:$E$126,5,FALSE)</f>
        <v>formula</v>
      </c>
      <c r="AS7" s="199" t="str">
        <f>VLOOKUP(AS8,'Payroll structure'!$A$2:$E$126,5,FALSE)</f>
        <v>input</v>
      </c>
      <c r="AT7" s="199" t="str">
        <f>VLOOKUP(AT8,'Payroll structure'!$A$2:$E$126,5,FALSE)</f>
        <v>input</v>
      </c>
      <c r="AU7" s="199" t="str">
        <f>VLOOKUP(AU8,'Payroll structure'!$A$2:$E$126,5,FALSE)</f>
        <v>formula</v>
      </c>
      <c r="AV7" s="199" t="str">
        <f>VLOOKUP(AV8,'Payroll structure'!$A$2:$E$126,5,FALSE)</f>
        <v>formula</v>
      </c>
      <c r="AW7" s="199" t="str">
        <f>VLOOKUP(AW8,'Payroll structure'!$A$2:$E$126,5,FALSE)</f>
        <v>input</v>
      </c>
      <c r="AX7" s="199" t="str">
        <f>VLOOKUP(AX8,'Payroll structure'!$A$2:$E$126,5,FALSE)</f>
        <v>input</v>
      </c>
      <c r="AY7" s="199" t="str">
        <f>VLOOKUP(AY8,'Payroll structure'!$A$2:$E$126,5,FALSE)</f>
        <v>input</v>
      </c>
      <c r="AZ7" s="199" t="str">
        <f>VLOOKUP(AZ8,'Payroll structure'!$A$2:$E$126,5,FALSE)</f>
        <v>input</v>
      </c>
      <c r="BA7" s="199" t="str">
        <f>VLOOKUP(BA8,'Payroll structure'!$A$2:$E$126,5,FALSE)</f>
        <v>input</v>
      </c>
      <c r="BB7" s="199" t="str">
        <f>VLOOKUP(BB8,'Payroll structure'!$A$2:$E$126,5,FALSE)</f>
        <v>input</v>
      </c>
      <c r="BC7" s="199" t="str">
        <f>VLOOKUP(BC8,'Payroll structure'!$A$2:$E$126,5,FALSE)</f>
        <v>input</v>
      </c>
      <c r="BD7" s="199" t="str">
        <f>VLOOKUP(BD8,'Payroll structure'!$A$2:$E$126,5,FALSE)</f>
        <v>input</v>
      </c>
      <c r="BE7" s="199" t="str">
        <f>VLOOKUP(BE8,'Payroll structure'!$A$2:$E$126,5,FALSE)</f>
        <v>input</v>
      </c>
      <c r="BF7" s="199" t="str">
        <f>VLOOKUP(BF8,'Payroll structure'!$A$2:$E$126,5,FALSE)</f>
        <v>input</v>
      </c>
      <c r="BG7" s="199" t="str">
        <f>VLOOKUP(BG8,'Payroll structure'!$A$2:$E$126,5,FALSE)</f>
        <v>input</v>
      </c>
      <c r="BH7" s="199" t="str">
        <f>VLOOKUP(BH8,'Payroll structure'!$A$2:$E$126,5,FALSE)</f>
        <v>input</v>
      </c>
      <c r="BI7" s="199" t="str">
        <f>VLOOKUP(BI8,'Payroll structure'!$A$2:$E$126,5,FALSE)</f>
        <v>input</v>
      </c>
      <c r="BJ7" s="199" t="str">
        <f>VLOOKUP(BJ8,'Payroll structure'!$A$2:$E$126,5,FALSE)</f>
        <v>input</v>
      </c>
      <c r="BK7" s="199" t="str">
        <f>VLOOKUP(BK8,'Payroll structure'!$A$2:$E$126,5,FALSE)</f>
        <v>input</v>
      </c>
      <c r="BL7" s="199" t="str">
        <f>VLOOKUP(BL8,'Payroll structure'!$A$2:$E$126,5,FALSE)</f>
        <v>input</v>
      </c>
      <c r="BM7" s="199" t="str">
        <f>VLOOKUP(BM8,'Payroll structure'!$A$2:$E$126,5,FALSE)</f>
        <v>input</v>
      </c>
      <c r="BN7" s="199" t="str">
        <f>VLOOKUP(BN8,'Payroll structure'!$A$2:$E$126,5,FALSE)</f>
        <v>input</v>
      </c>
      <c r="BO7" s="199" t="str">
        <f>VLOOKUP(BO8,'Payroll structure'!$A$2:$E$126,5,FALSE)</f>
        <v>input</v>
      </c>
      <c r="BP7" s="199" t="str">
        <f>VLOOKUP(BP8,'Payroll structure'!$A$2:$E$126,5,FALSE)</f>
        <v>input</v>
      </c>
      <c r="BQ7" s="199" t="str">
        <f>VLOOKUP(BQ8,'Payroll structure'!$A$2:$E$126,5,FALSE)</f>
        <v>input</v>
      </c>
      <c r="BR7" s="199" t="str">
        <f>VLOOKUP(BR8,'Payroll structure'!$A$2:$E$126,5,FALSE)</f>
        <v>input</v>
      </c>
      <c r="BS7" s="199" t="e">
        <f>VLOOKUP(BS8,'Payroll structure'!$A$2:$E$126,5,FALSE)</f>
        <v>#N/A</v>
      </c>
      <c r="BT7" s="199" t="str">
        <f>VLOOKUP(BT8,'Payroll structure'!$A$2:$E$126,5,FALSE)</f>
        <v>input</v>
      </c>
      <c r="BU7" s="199" t="str">
        <f>VLOOKUP(BU8,'Payroll structure'!$A$2:$E$126,5,FALSE)</f>
        <v>input</v>
      </c>
      <c r="BV7" s="199" t="str">
        <f>VLOOKUP(BV8,'Payroll structure'!$A$2:$E$126,5,FALSE)</f>
        <v>input</v>
      </c>
      <c r="BW7" s="199" t="str">
        <f>VLOOKUP(BW8,'Payroll structure'!$A$2:$E$126,5,FALSE)</f>
        <v>formula</v>
      </c>
      <c r="BX7" s="199" t="str">
        <f>VLOOKUP(BX8,'Payroll structure'!$A$2:$E$126,5,FALSE)</f>
        <v>formula</v>
      </c>
      <c r="BY7" s="199" t="str">
        <f>VLOOKUP(BY8,'Payroll structure'!$A$2:$E$126,5,FALSE)</f>
        <v>formula</v>
      </c>
      <c r="BZ7" s="199" t="str">
        <f>VLOOKUP(BZ8,'Payroll structure'!$A$2:$E$126,5,FALSE)</f>
        <v>input</v>
      </c>
      <c r="CA7" s="199" t="str">
        <f>VLOOKUP(CA8,'Payroll structure'!$A$2:$E$126,5,FALSE)</f>
        <v>formula</v>
      </c>
      <c r="CB7" s="199" t="str">
        <f>VLOOKUP(CB8,'Payroll structure'!$A$2:$E$126,5,FALSE)</f>
        <v>input</v>
      </c>
      <c r="CC7" s="199" t="str">
        <f>VLOOKUP(CC8,'Payroll structure'!$A$2:$E$126,5,FALSE)</f>
        <v>formula</v>
      </c>
      <c r="CD7" s="199" t="str">
        <f>VLOOKUP(CD8,'Payroll structure'!$A$2:$E$126,5,FALSE)</f>
        <v>input</v>
      </c>
      <c r="CE7" s="199" t="str">
        <f>VLOOKUP(CE8,'Payroll structure'!$A$2:$E$126,5,FALSE)</f>
        <v>formula</v>
      </c>
      <c r="CF7" s="199" t="str">
        <f>VLOOKUP(CF8,'Payroll structure'!$A$2:$E$126,5,FALSE)</f>
        <v>formula</v>
      </c>
      <c r="CG7" s="199" t="str">
        <f>VLOOKUP(CG8,'Payroll structure'!$A$2:$E$126,5,FALSE)</f>
        <v>input</v>
      </c>
      <c r="CH7" s="199" t="str">
        <f>VLOOKUP(CH8,'Payroll structure'!$A$2:$E$126,5,FALSE)</f>
        <v>formula</v>
      </c>
      <c r="CI7" s="199" t="str">
        <f>VLOOKUP(CI8,'Payroll structure'!$A$2:$E$126,5,FALSE)</f>
        <v>formula</v>
      </c>
      <c r="CJ7" s="199" t="str">
        <f>VLOOKUP(CJ8,'Payroll structure'!$A$2:$E$126,5,FALSE)</f>
        <v>formula</v>
      </c>
      <c r="CK7" s="199" t="str">
        <f>VLOOKUP(CK8,'Payroll structure'!$A$2:$E$126,5,FALSE)</f>
        <v>system</v>
      </c>
      <c r="CL7" s="199" t="str">
        <f>VLOOKUP(CL8,'Payroll structure'!$A$2:$E$126,5,FALSE)</f>
        <v>input</v>
      </c>
      <c r="CM7" s="199" t="str">
        <f>VLOOKUP(CM8,'Payroll structure'!$A$2:$E$126,5,FALSE)</f>
        <v>formula</v>
      </c>
      <c r="CN7" s="199" t="str">
        <f>VLOOKUP(CN8,'Payroll structure'!$A$2:$E$126,5,FALSE)</f>
        <v>formula</v>
      </c>
      <c r="CO7" s="199" t="str">
        <f>VLOOKUP(CO8,'Payroll structure'!$A$2:$E$126,5,FALSE)</f>
        <v>input</v>
      </c>
      <c r="CP7" s="199" t="str">
        <f>VLOOKUP(CP8,'Payroll structure'!$A$2:$E$126,5,FALSE)</f>
        <v>input</v>
      </c>
      <c r="CQ7" s="199" t="str">
        <f>VLOOKUP(CQ8,'Payroll structure'!$A$2:$E$126,5,FALSE)</f>
        <v>input</v>
      </c>
      <c r="CR7" s="199" t="str">
        <f>VLOOKUP(CR8,'Payroll structure'!$A$2:$E$126,5,FALSE)</f>
        <v>input</v>
      </c>
      <c r="CS7" s="199" t="str">
        <f>VLOOKUP(CS8,'Payroll structure'!$A$2:$E$126,5,FALSE)</f>
        <v>input</v>
      </c>
      <c r="CT7" s="199" t="str">
        <f>VLOOKUP(CT8,'Payroll structure'!$A$2:$E$126,5,FALSE)</f>
        <v>formula</v>
      </c>
      <c r="CU7" s="199" t="str">
        <f>VLOOKUP(CU8,'Payroll structure'!$A$2:$E$126,5,FALSE)</f>
        <v>input</v>
      </c>
      <c r="CV7" s="199" t="str">
        <f>VLOOKUP(CV8,'Payroll structure'!$A$2:$E$126,5,FALSE)</f>
        <v>input</v>
      </c>
      <c r="CW7" s="199" t="str">
        <f>VLOOKUP(CW8,'Payroll structure'!$A$2:$E$126,5,FALSE)</f>
        <v>input</v>
      </c>
      <c r="CX7" s="199" t="str">
        <f>VLOOKUP(CX8,'Payroll structure'!$A$2:$E$126,5,FALSE)</f>
        <v>input</v>
      </c>
      <c r="CY7" s="199" t="str">
        <f>VLOOKUP(CY8,'Payroll structure'!$A$2:$E$126,5,FALSE)</f>
        <v>input</v>
      </c>
      <c r="CZ7" s="199" t="str">
        <f>VLOOKUP(CZ8,'Payroll structure'!$A$2:$E$126,5,FALSE)</f>
        <v>formula</v>
      </c>
      <c r="DA7" s="199" t="e">
        <f>VLOOKUP(DA8,'Payroll structure'!$A$2:$E$126,5,FALSE)</f>
        <v>#N/A</v>
      </c>
      <c r="DB7" s="199" t="str">
        <f>VLOOKUP(DB8,'Payroll structure'!$A$2:$E$126,5,FALSE)</f>
        <v>formula</v>
      </c>
      <c r="DC7" s="199" t="e">
        <f>VLOOKUP(DC8,'Payroll structure'!$A$2:$E$126,5,FALSE)</f>
        <v>#N/A</v>
      </c>
      <c r="DD7" s="199" t="str">
        <f>VLOOKUP(DD8,'Payroll structure'!$A$2:$E$126,5,FALSE)</f>
        <v>formula</v>
      </c>
      <c r="DE7" s="199" t="str">
        <f>VLOOKUP(DE8,'Payroll structure'!$A$2:$E$126,5,FALSE)</f>
        <v>input</v>
      </c>
      <c r="DF7" s="199" t="str">
        <f>VLOOKUP(DF8,'Payroll structure'!$A$2:$E$126,5,FALSE)</f>
        <v>formula</v>
      </c>
      <c r="DG7" s="199" t="str">
        <f>VLOOKUP(DG8,'Payroll structure'!$A$2:$E$126,5,FALSE)</f>
        <v>input</v>
      </c>
      <c r="DH7" s="199" t="str">
        <f>VLOOKUP(DH8,'Payroll structure'!$A$2:$E$126,5,FALSE)</f>
        <v>formula</v>
      </c>
      <c r="DI7" s="199" t="str">
        <f>VLOOKUP(DI8,'Payroll structure'!$A$2:$E$126,5,FALSE)</f>
        <v>input</v>
      </c>
      <c r="DJ7" s="199" t="str">
        <f>VLOOKUP(DJ8,'Payroll structure'!$A$2:$E$126,5,FALSE)</f>
        <v>formula</v>
      </c>
      <c r="DK7" s="199" t="str">
        <f>VLOOKUP(DK8,'Payroll structure'!$A$2:$E$126,5,FALSE)</f>
        <v>input</v>
      </c>
      <c r="DL7" s="199" t="str">
        <f>VLOOKUP(DL8,'Payroll structure'!$A$2:$E$126,5,FALSE)</f>
        <v>formula</v>
      </c>
      <c r="DM7" s="199" t="str">
        <f>VLOOKUP(DM8,'Payroll structure'!$A$2:$E$126,5,FALSE)</f>
        <v>formula</v>
      </c>
      <c r="DN7" s="199" t="str">
        <f>VLOOKUP(DN8,'Payroll structure'!$A$2:$E$126,5,FALSE)</f>
        <v>formula</v>
      </c>
      <c r="DO7" s="199" t="e">
        <f>VLOOKUP(DO8,'Payroll structure'!$A$2:$E$126,5,FALSE)</f>
        <v>#N/A</v>
      </c>
      <c r="DP7" s="199" t="s">
        <v>893</v>
      </c>
      <c r="DQ7" s="199" t="str">
        <f>VLOOKUP(DQ8,'Payroll structure'!$A$2:$E$126,5,FALSE)</f>
        <v>formula</v>
      </c>
      <c r="DR7" s="199" t="str">
        <f>VLOOKUP(DR8,'Payroll structure'!$A$2:$E$126,5,FALSE)</f>
        <v>formula</v>
      </c>
      <c r="DS7" s="199" t="str">
        <f>VLOOKUP(DS8,'Payroll structure'!$A$2:$E$126,5,FALSE)</f>
        <v>formula</v>
      </c>
      <c r="DT7" s="199" t="str">
        <f>VLOOKUP(DT8,'Payroll structure'!$A$2:$E$126,5,FALSE)</f>
        <v>formula</v>
      </c>
      <c r="DU7" s="199" t="str">
        <f>VLOOKUP(DU8,'Payroll structure'!$A$2:$E$126,5,FALSE)</f>
        <v>formula</v>
      </c>
      <c r="DV7" s="199" t="str">
        <f>VLOOKUP(DV8,'Payroll structure'!$A$2:$E$126,5,FALSE)</f>
        <v>formula</v>
      </c>
      <c r="DW7" s="199" t="str">
        <f>VLOOKUP(DW8,'Payroll structure'!$A$2:$E$126,5,FALSE)</f>
        <v>formula</v>
      </c>
      <c r="DX7" s="199" t="str">
        <f>VLOOKUP(DX8,'Payroll structure'!$A$2:$E$126,5,FALSE)</f>
        <v>formula</v>
      </c>
      <c r="DY7" s="199" t="str">
        <f>VLOOKUP(DY8,'Payroll structure'!$A$2:$E$126,5,FALSE)</f>
        <v>formula</v>
      </c>
      <c r="DZ7" s="199" t="e">
        <f>VLOOKUP(DZ8,'Payroll structure'!$A$2:$E$126,5,FALSE)</f>
        <v>#N/A</v>
      </c>
      <c r="EA7" s="199" t="e">
        <f>VLOOKUP(EA8,'Payroll structure'!$A$2:$E$126,5,FALSE)</f>
        <v>#N/A</v>
      </c>
      <c r="EB7" s="199" t="e">
        <f>VLOOKUP(EB8,'Payroll structure'!$A$2:$E$126,5,FALSE)</f>
        <v>#N/A</v>
      </c>
      <c r="EC7" s="199" t="e">
        <f>VLOOKUP(EC8,'Payroll structure'!$A$2:$E$126,5,FALSE)</f>
        <v>#N/A</v>
      </c>
      <c r="ED7" s="199" t="e">
        <f>VLOOKUP(ED8,'Payroll structure'!$A$2:$E$126,5,FALSE)</f>
        <v>#N/A</v>
      </c>
      <c r="EE7" s="199" t="str">
        <f>VLOOKUP(EE8,'Payroll structure'!$A$2:$E$126,5,FALSE)</f>
        <v>formula</v>
      </c>
      <c r="EF7" s="205" t="s">
        <v>894</v>
      </c>
      <c r="EG7" s="205" t="s">
        <v>342</v>
      </c>
      <c r="EH7" s="206" t="s">
        <v>342</v>
      </c>
      <c r="EI7" s="206" t="s">
        <v>342</v>
      </c>
      <c r="EJ7" s="206" t="s">
        <v>342</v>
      </c>
      <c r="EK7" s="206" t="s">
        <v>342</v>
      </c>
      <c r="EL7" s="206" t="s">
        <v>342</v>
      </c>
      <c r="EM7" s="206" t="s">
        <v>342</v>
      </c>
      <c r="EN7" s="206" t="s">
        <v>342</v>
      </c>
      <c r="EO7" s="206" t="s">
        <v>342</v>
      </c>
      <c r="EP7" s="206" t="s">
        <v>342</v>
      </c>
      <c r="EQ7" s="206" t="s">
        <v>342</v>
      </c>
      <c r="ER7" s="206" t="s">
        <v>342</v>
      </c>
      <c r="ES7" s="206" t="s">
        <v>342</v>
      </c>
      <c r="ET7" s="206" t="s">
        <v>894</v>
      </c>
    </row>
    <row r="8" spans="1:180" s="207" customFormat="1" ht="18.75" customHeight="1">
      <c r="A8" s="486"/>
      <c r="B8" s="200"/>
      <c r="C8" s="200"/>
      <c r="D8" s="200"/>
      <c r="E8" s="200"/>
      <c r="F8" s="200"/>
      <c r="G8" s="200"/>
      <c r="H8" s="200"/>
      <c r="I8" s="200"/>
      <c r="J8" s="201"/>
      <c r="K8" s="200"/>
      <c r="L8" s="200"/>
      <c r="M8" s="200"/>
      <c r="N8" s="200"/>
      <c r="O8" s="200"/>
      <c r="P8" s="200"/>
      <c r="Q8" s="62" t="s">
        <v>393</v>
      </c>
      <c r="R8" s="62" t="s">
        <v>397</v>
      </c>
      <c r="S8" s="62" t="s">
        <v>399</v>
      </c>
      <c r="T8" s="62" t="s">
        <v>401</v>
      </c>
      <c r="U8" s="62" t="s">
        <v>406</v>
      </c>
      <c r="V8" s="62" t="s">
        <v>411</v>
      </c>
      <c r="W8" s="62" t="s">
        <v>341</v>
      </c>
      <c r="X8" s="62" t="s">
        <v>345</v>
      </c>
      <c r="Y8" s="62" t="s">
        <v>353</v>
      </c>
      <c r="Z8" s="62" t="s">
        <v>359</v>
      </c>
      <c r="AA8" s="62" t="s">
        <v>362</v>
      </c>
      <c r="AB8" s="62" t="s">
        <v>365</v>
      </c>
      <c r="AC8" s="200"/>
      <c r="AD8" s="200"/>
      <c r="AE8" s="62" t="s">
        <v>372</v>
      </c>
      <c r="AF8" s="62" t="s">
        <v>375</v>
      </c>
      <c r="AG8" s="62" t="s">
        <v>378</v>
      </c>
      <c r="AH8" s="200"/>
      <c r="AI8" s="62" t="s">
        <v>385</v>
      </c>
      <c r="AJ8" s="62" t="s">
        <v>415</v>
      </c>
      <c r="AK8" s="62" t="s">
        <v>422</v>
      </c>
      <c r="AL8" s="62" t="s">
        <v>427</v>
      </c>
      <c r="AM8" s="203" t="s">
        <v>438</v>
      </c>
      <c r="AN8" s="62" t="s">
        <v>432</v>
      </c>
      <c r="AO8" s="62" t="s">
        <v>456</v>
      </c>
      <c r="AP8" s="62" t="s">
        <v>463</v>
      </c>
      <c r="AQ8" s="62" t="s">
        <v>468</v>
      </c>
      <c r="AR8" s="62" t="s">
        <v>475</v>
      </c>
      <c r="AS8" s="62" t="s">
        <v>480</v>
      </c>
      <c r="AT8" s="62" t="s">
        <v>482</v>
      </c>
      <c r="AU8" s="62" t="s">
        <v>484</v>
      </c>
      <c r="AV8" s="62" t="s">
        <v>489</v>
      </c>
      <c r="AW8" s="62" t="s">
        <v>493</v>
      </c>
      <c r="AX8" s="62" t="s">
        <v>495</v>
      </c>
      <c r="AY8" s="62" t="s">
        <v>497</v>
      </c>
      <c r="AZ8" s="62" t="s">
        <v>499</v>
      </c>
      <c r="BA8" s="62" t="s">
        <v>501</v>
      </c>
      <c r="BB8" s="62" t="s">
        <v>503</v>
      </c>
      <c r="BC8" s="62" t="s">
        <v>505</v>
      </c>
      <c r="BD8" s="62" t="s">
        <v>508</v>
      </c>
      <c r="BE8" s="62" t="s">
        <v>510</v>
      </c>
      <c r="BF8" s="62" t="s">
        <v>512</v>
      </c>
      <c r="BG8" s="62" t="s">
        <v>514</v>
      </c>
      <c r="BH8" s="62" t="s">
        <v>516</v>
      </c>
      <c r="BI8" s="62" t="s">
        <v>518</v>
      </c>
      <c r="BJ8" s="62" t="s">
        <v>520</v>
      </c>
      <c r="BK8" s="62" t="s">
        <v>522</v>
      </c>
      <c r="BL8" s="62" t="s">
        <v>524</v>
      </c>
      <c r="BM8" s="62" t="s">
        <v>526</v>
      </c>
      <c r="BN8" s="62" t="s">
        <v>528</v>
      </c>
      <c r="BO8" s="62" t="s">
        <v>531</v>
      </c>
      <c r="BP8" s="62" t="s">
        <v>537</v>
      </c>
      <c r="BQ8" s="62" t="s">
        <v>540</v>
      </c>
      <c r="BR8" s="62" t="s">
        <v>542</v>
      </c>
      <c r="BS8" s="202"/>
      <c r="BT8" s="62" t="s">
        <v>551</v>
      </c>
      <c r="BU8" s="62" t="s">
        <v>554</v>
      </c>
      <c r="BV8" s="62" t="s">
        <v>556</v>
      </c>
      <c r="BW8" s="62" t="s">
        <v>558</v>
      </c>
      <c r="BX8" s="62" t="s">
        <v>562</v>
      </c>
      <c r="BY8" s="202" t="s">
        <v>569</v>
      </c>
      <c r="BZ8" s="62" t="s">
        <v>575</v>
      </c>
      <c r="CA8" s="62" t="s">
        <v>577</v>
      </c>
      <c r="CB8" s="62" t="s">
        <v>581</v>
      </c>
      <c r="CC8" s="62" t="s">
        <v>583</v>
      </c>
      <c r="CD8" s="62" t="s">
        <v>588</v>
      </c>
      <c r="CE8" s="62" t="s">
        <v>590</v>
      </c>
      <c r="CF8" s="62" t="s">
        <v>595</v>
      </c>
      <c r="CG8" s="62" t="s">
        <v>599</v>
      </c>
      <c r="CH8" s="62" t="s">
        <v>601</v>
      </c>
      <c r="CI8" s="62" t="s">
        <v>605</v>
      </c>
      <c r="CJ8" s="62" t="s">
        <v>610</v>
      </c>
      <c r="CK8" s="278" t="s">
        <v>614</v>
      </c>
      <c r="CL8" s="62" t="s">
        <v>619</v>
      </c>
      <c r="CM8" s="62" t="s">
        <v>621</v>
      </c>
      <c r="CN8" s="62" t="s">
        <v>625</v>
      </c>
      <c r="CO8" s="62" t="s">
        <v>629</v>
      </c>
      <c r="CP8" s="62" t="s">
        <v>632</v>
      </c>
      <c r="CQ8" s="62" t="s">
        <v>634</v>
      </c>
      <c r="CR8" s="62" t="s">
        <v>636</v>
      </c>
      <c r="CS8" s="62" t="s">
        <v>638</v>
      </c>
      <c r="CT8" s="62" t="s">
        <v>645</v>
      </c>
      <c r="CU8" s="62" t="s">
        <v>650</v>
      </c>
      <c r="CV8" s="62" t="s">
        <v>652</v>
      </c>
      <c r="CW8" s="62" t="s">
        <v>654</v>
      </c>
      <c r="CX8" s="62" t="s">
        <v>656</v>
      </c>
      <c r="CY8" s="62" t="s">
        <v>658</v>
      </c>
      <c r="CZ8" s="62" t="s">
        <v>664</v>
      </c>
      <c r="DA8" s="202"/>
      <c r="DB8" s="62" t="s">
        <v>669</v>
      </c>
      <c r="DC8" s="202"/>
      <c r="DD8" s="62" t="s">
        <v>677</v>
      </c>
      <c r="DE8" s="62" t="s">
        <v>682</v>
      </c>
      <c r="DF8" s="62" t="s">
        <v>684</v>
      </c>
      <c r="DG8" s="62" t="s">
        <v>688</v>
      </c>
      <c r="DH8" s="62" t="s">
        <v>690</v>
      </c>
      <c r="DI8" s="62" t="s">
        <v>694</v>
      </c>
      <c r="DJ8" s="62" t="s">
        <v>696</v>
      </c>
      <c r="DK8" s="62" t="s">
        <v>699</v>
      </c>
      <c r="DL8" s="62" t="s">
        <v>701</v>
      </c>
      <c r="DM8" s="62" t="s">
        <v>706</v>
      </c>
      <c r="DN8" s="63" t="s">
        <v>710</v>
      </c>
      <c r="DO8" s="202"/>
      <c r="DP8" s="202"/>
      <c r="DQ8" s="63" t="s">
        <v>716</v>
      </c>
      <c r="DR8" s="62" t="s">
        <v>720</v>
      </c>
      <c r="DS8" s="62" t="s">
        <v>722</v>
      </c>
      <c r="DT8" s="62" t="s">
        <v>725</v>
      </c>
      <c r="DU8" t="s">
        <v>727</v>
      </c>
      <c r="DV8" t="s">
        <v>729</v>
      </c>
      <c r="DW8" s="62" t="s">
        <v>731</v>
      </c>
      <c r="DX8" s="62" t="s">
        <v>735</v>
      </c>
      <c r="DY8" s="63" t="s">
        <v>737</v>
      </c>
      <c r="DZ8" s="204"/>
      <c r="EA8" s="204"/>
      <c r="EB8" s="204"/>
      <c r="EC8" s="204"/>
      <c r="ED8" s="204"/>
      <c r="EE8" t="s">
        <v>740</v>
      </c>
      <c r="EF8" s="205"/>
      <c r="EG8" s="205"/>
      <c r="EH8" s="206"/>
      <c r="EI8" s="206"/>
      <c r="EJ8" s="206"/>
      <c r="EK8" s="206"/>
      <c r="EL8" s="206"/>
      <c r="EM8" s="206"/>
      <c r="EN8" s="206"/>
      <c r="EO8" s="206"/>
      <c r="EP8" s="206"/>
      <c r="EQ8" s="206"/>
      <c r="ER8" s="206"/>
      <c r="ES8" s="206"/>
      <c r="ET8" s="206"/>
    </row>
    <row r="9" spans="1:180" ht="39.75" customHeight="1">
      <c r="A9" s="516">
        <f>ROW()-ROW($A$7)</f>
        <v>2</v>
      </c>
      <c r="B9" s="517">
        <f>SUBTOTAL(3,$F$9:F9)</f>
        <v>0</v>
      </c>
      <c r="C9" s="208" t="s">
        <v>895</v>
      </c>
      <c r="D9" s="209" t="s">
        <v>896</v>
      </c>
      <c r="E9" s="210"/>
      <c r="F9" s="211"/>
      <c r="G9" s="212"/>
      <c r="H9" s="213"/>
      <c r="I9" s="213"/>
      <c r="J9" s="214"/>
      <c r="K9" s="215"/>
      <c r="L9" s="216"/>
      <c r="M9" s="217" t="s">
        <v>897</v>
      </c>
      <c r="N9" s="218">
        <v>37646</v>
      </c>
      <c r="O9" s="218"/>
      <c r="P9" s="218"/>
      <c r="Q9" s="219">
        <v>0</v>
      </c>
      <c r="R9" s="219">
        <f>200*10^6</f>
        <v>200000000</v>
      </c>
      <c r="S9" s="219"/>
      <c r="T9" s="220">
        <f>IF(M9="Chính thức",SUM(R9:S9),Q9)</f>
        <v>200000000</v>
      </c>
      <c r="U9" s="221">
        <f>IF(M9="Chính thức",IF(T9&gt;=50600000,50600000,T9),0)</f>
        <v>50600000</v>
      </c>
      <c r="V9" s="221">
        <f>IF(M9="Chính thức",IF(T9&gt;=106200000,106200000,T9),0)</f>
        <v>106200000</v>
      </c>
      <c r="W9" s="222">
        <v>22</v>
      </c>
      <c r="X9" s="223">
        <v>0</v>
      </c>
      <c r="Y9" s="223">
        <v>19.5</v>
      </c>
      <c r="Z9" s="223">
        <v>0</v>
      </c>
      <c r="AA9" s="223">
        <v>2.5</v>
      </c>
      <c r="AB9" s="223">
        <v>0</v>
      </c>
      <c r="AC9" s="223">
        <v>0</v>
      </c>
      <c r="AD9" s="223">
        <v>0</v>
      </c>
      <c r="AE9" s="223">
        <v>0</v>
      </c>
      <c r="AF9" s="223">
        <v>0</v>
      </c>
      <c r="AG9" s="223">
        <v>0</v>
      </c>
      <c r="AH9" s="223">
        <v>0</v>
      </c>
      <c r="AI9" s="224">
        <f>IF(M9="Chính thức",SUM(Y9:AD9),X9+SUM(Z9:AD9))</f>
        <v>22</v>
      </c>
      <c r="AJ9" s="225">
        <f>IF($M9="Thử việc",IFERROR(ROUND($Q9/$W9*$AI9,0),0),0)</f>
        <v>0</v>
      </c>
      <c r="AK9" s="225">
        <f>IF($M9="Chính thức",IFERROR(ROUND($R9/$W9*$AI9,0),0),0)</f>
        <v>200000000</v>
      </c>
      <c r="AL9" s="225">
        <f t="shared" ref="AL9" si="4">IFERROR(ROUND(S9/W9*AI9,0),0)</f>
        <v>0</v>
      </c>
      <c r="AM9" s="225">
        <v>0</v>
      </c>
      <c r="AN9" s="226">
        <f>ROUND(SUM(AJ9:AM9),0)</f>
        <v>200000000</v>
      </c>
      <c r="AO9" s="221">
        <v>0</v>
      </c>
      <c r="AP9" s="221">
        <v>0</v>
      </c>
      <c r="AQ9" s="221">
        <v>25000000</v>
      </c>
      <c r="AR9" s="221">
        <v>0</v>
      </c>
      <c r="AS9" s="221"/>
      <c r="AT9" s="221">
        <v>0</v>
      </c>
      <c r="AU9" s="221">
        <v>-990000</v>
      </c>
      <c r="AV9" s="221">
        <v>1000000</v>
      </c>
      <c r="AW9" s="221"/>
      <c r="AX9" s="221"/>
      <c r="AY9" s="221"/>
      <c r="AZ9" s="221"/>
      <c r="BA9" s="226">
        <v>0</v>
      </c>
      <c r="BB9" s="226">
        <v>0</v>
      </c>
      <c r="BC9" s="221">
        <v>0</v>
      </c>
      <c r="BD9" s="221"/>
      <c r="BE9" s="221"/>
      <c r="BF9" s="221"/>
      <c r="BG9" s="221"/>
      <c r="BH9" s="227"/>
      <c r="BI9" s="228"/>
      <c r="BJ9" s="221">
        <v>0</v>
      </c>
      <c r="BK9" s="221"/>
      <c r="BL9" s="228"/>
      <c r="BM9" s="221"/>
      <c r="BN9" s="221">
        <v>0</v>
      </c>
      <c r="BO9" s="221">
        <v>0</v>
      </c>
      <c r="BP9" s="221">
        <v>0</v>
      </c>
      <c r="BQ9" s="221">
        <v>0</v>
      </c>
      <c r="BR9" s="221">
        <v>0</v>
      </c>
      <c r="BS9" s="221">
        <v>0</v>
      </c>
      <c r="BT9" s="221">
        <v>0</v>
      </c>
      <c r="BU9" s="221">
        <v>0</v>
      </c>
      <c r="BV9" s="221"/>
      <c r="BW9" s="229">
        <f>SUM(AN9:BU9)</f>
        <v>225010000</v>
      </c>
      <c r="BX9" s="229">
        <f>SUM(AN9:AT9)+BA9+SUM(BC9:BU9)-BV9-AM9</f>
        <v>225000000</v>
      </c>
      <c r="BY9" s="230">
        <v>3744000</v>
      </c>
      <c r="BZ9" s="230">
        <v>0</v>
      </c>
      <c r="CA9" s="230">
        <v>702000</v>
      </c>
      <c r="CB9" s="230">
        <v>0</v>
      </c>
      <c r="CC9" s="230">
        <v>1062000</v>
      </c>
      <c r="CD9" s="230">
        <v>0</v>
      </c>
      <c r="CE9" s="230">
        <f>IFERROR(SUM(BY9:CD9),0)</f>
        <v>5508000</v>
      </c>
      <c r="CF9" s="231">
        <f t="shared" ref="CF9" si="5">IF($M9="Chính thức",15500000,IF($M9="Thử việc",0,0))</f>
        <v>15500000</v>
      </c>
      <c r="CG9" s="231">
        <v>3</v>
      </c>
      <c r="CH9" s="226">
        <f t="shared" ref="CH9" si="6">CG9*6200000</f>
        <v>18600000</v>
      </c>
      <c r="CI9" s="232">
        <f>CF9+CH9</f>
        <v>34100000</v>
      </c>
      <c r="CJ9" s="231">
        <f t="shared" ref="CJ9" si="7">ROUND(IF((BX9-CE9-CI9)&lt;0,0,(BX9-CE9-CI9)),0)</f>
        <v>185392000</v>
      </c>
      <c r="CK9" s="233" cm="1">
        <f t="array" ref="CK9">ROUND(IF(AND(AND($G9="Việt Nam",$M9="Thử việc"),$CJ9&gt;=2000000),$CJ9*10%,IF(AND(AND($G9="Việt Nam",$M9="Thử việc"),$CJ9&lt;2000000),0,IF(AND($G9="Nước ngoài",$M9="Thử việc"),$CJ9*20%,(SUMPRODUCT(($CJ9&gt;{0;10;30;60;100}*10^6)*($CJ9-{0;10;30;60;100}*10^6)*{0.05;0.05;0.1;0.1;0.05}))))),0)</f>
        <v>50387200</v>
      </c>
      <c r="CL9" s="234"/>
      <c r="CM9" s="233">
        <f t="shared" ref="CM9" si="8">ROUND(CK9+CL9,0)</f>
        <v>50387200</v>
      </c>
      <c r="CN9" s="235">
        <f t="shared" ref="CN9" si="9">ROUND(BW9-CE9-CM9,0)</f>
        <v>169114800</v>
      </c>
      <c r="CO9" s="221">
        <v>21049361</v>
      </c>
      <c r="CP9" s="221"/>
      <c r="CQ9" s="221">
        <v>0</v>
      </c>
      <c r="CR9" s="221">
        <v>0</v>
      </c>
      <c r="CS9" s="236"/>
      <c r="CT9" s="230">
        <v>234000</v>
      </c>
      <c r="CU9" s="221">
        <v>0</v>
      </c>
      <c r="CV9" s="221">
        <f t="shared" ref="CV9" si="10">BL9</f>
        <v>0</v>
      </c>
      <c r="CW9" s="221">
        <v>0</v>
      </c>
      <c r="CX9" s="221">
        <v>0</v>
      </c>
      <c r="CY9" s="221">
        <f t="shared" ref="CY9" si="11">BS9</f>
        <v>0</v>
      </c>
      <c r="CZ9" s="237">
        <f>ROUND($CN9+SUM($CO9:$CS9)-SUM($CT9:$CY9),0)</f>
        <v>189930161</v>
      </c>
      <c r="DA9" s="226"/>
      <c r="DB9" s="237">
        <f>ROUND(CZ9,0)</f>
        <v>189930161</v>
      </c>
      <c r="DC9" s="226"/>
      <c r="DD9" s="230">
        <v>7956000</v>
      </c>
      <c r="DE9" s="230">
        <v>0</v>
      </c>
      <c r="DF9" s="230">
        <v>234000</v>
      </c>
      <c r="DG9" s="230">
        <v>0</v>
      </c>
      <c r="DH9" s="230">
        <v>1404000</v>
      </c>
      <c r="DI9" s="230">
        <v>0</v>
      </c>
      <c r="DJ9" s="230">
        <v>1062000</v>
      </c>
      <c r="DK9" s="230">
        <v>0</v>
      </c>
      <c r="DL9" s="232">
        <f t="shared" ref="DL9" si="12">IFERROR(SUM(DD9:DK9),0)</f>
        <v>10656000</v>
      </c>
      <c r="DM9" s="230">
        <v>936000</v>
      </c>
      <c r="DN9" s="226">
        <f>SUM(DL9:DM9)+CZ9</f>
        <v>201522161</v>
      </c>
      <c r="DO9" s="238"/>
      <c r="DP9" s="212"/>
      <c r="DQ9" s="239"/>
      <c r="DR9" s="239"/>
      <c r="DS9" s="239">
        <f>IF($P9&lt;&gt;"",0,ROUND(6000000/12,0))</f>
        <v>500000</v>
      </c>
      <c r="DT9" s="239"/>
      <c r="DU9" s="239"/>
      <c r="DV9" s="239"/>
      <c r="DW9" s="239">
        <f t="shared" ref="DW9" si="13">IF($P9&lt;&gt;"",0,ROUND($T9/4,0))</f>
        <v>50000000</v>
      </c>
      <c r="DX9" s="239">
        <f t="shared" ref="DX9" si="14">IF($P9&lt;&gt;"",0,ROUND($T9/12,0))</f>
        <v>16666667</v>
      </c>
      <c r="DY9" s="239">
        <f t="shared" ref="DY9" si="15">IF($P9&lt;&gt;"",0,MIN(ROUND($T9/12,0),(ROUND(15000000/12,0))))</f>
        <v>1250000</v>
      </c>
      <c r="DZ9" s="240"/>
      <c r="EA9" s="213"/>
      <c r="EB9" s="213"/>
      <c r="EC9" s="213"/>
      <c r="ED9" s="213"/>
      <c r="EE9" s="241">
        <f>BW9+DL9+DM9+DS9+DW9+DX9+DY9</f>
        <v>305018667</v>
      </c>
      <c r="EF9" s="70">
        <f>SUM(AN9:BV9)-CE9-CM9+SUM(CO9:CS9)-SUM(CT9:CY9)-CZ9</f>
        <v>0</v>
      </c>
      <c r="EG9" s="242" t="s">
        <v>898</v>
      </c>
      <c r="EH9" s="242" t="s">
        <v>899</v>
      </c>
      <c r="EI9" s="243">
        <v>3</v>
      </c>
      <c r="EJ9" s="244"/>
      <c r="EK9" s="245"/>
      <c r="EL9" s="246"/>
      <c r="EM9" s="247" t="s">
        <v>896</v>
      </c>
      <c r="EN9" s="248" t="s">
        <v>896</v>
      </c>
      <c r="EO9" s="249"/>
      <c r="EP9" s="245"/>
      <c r="EQ9" s="245" t="s">
        <v>896</v>
      </c>
      <c r="ER9" s="245">
        <v>182000000</v>
      </c>
      <c r="ES9" s="245">
        <v>0</v>
      </c>
      <c r="ET9" s="250">
        <f t="shared" ref="ET9" si="16">ROUND((T9-ER9-ES9)/(ER9+ES9),0)</f>
        <v>0</v>
      </c>
      <c r="EU9" s="185"/>
      <c r="EV9" s="154"/>
      <c r="EW9" s="251">
        <f t="shared" ref="EW9" si="17">ROUND(IF(AND(AND($G9="Việt Nam",$M9="Thử việc"),$CJ9&gt;=2000000),$CJ9*10%,IF(AND(AND($G9="Việt Nam",$M9="Thử việc"),$CJ9&lt;2000000),0,IF(AND($G9="Nước ngoài",$M9="Thử việc"),$CJ9*20%,IF($CJ9&lt;=10000000, $CJ9*5%,
IF($CJ9&lt;=30000000, $CJ9*10%-500000,
IF($CJ9&lt;=60000000, $CJ9*20%-3500000,
IF($CJ9&lt;=100000000, $CJ9*30%-9500000,
$CJ9*35%-14500000))))))),0)</f>
        <v>50387200</v>
      </c>
      <c r="EX9" s="248" t="b">
        <f t="shared" ref="EX9" si="18">EW9=CK9</f>
        <v>1</v>
      </c>
      <c r="EY9" s="252" t="s">
        <v>268</v>
      </c>
      <c r="EZ9" s="253" t="s">
        <v>268</v>
      </c>
      <c r="FA9" s="254">
        <f>AG9+AH9</f>
        <v>0</v>
      </c>
      <c r="FB9" s="248"/>
      <c r="FC9" s="255"/>
    </row>
    <row r="10" spans="1:180" ht="144">
      <c r="A10" s="455"/>
      <c r="B10" s="456"/>
      <c r="C10" s="456"/>
      <c r="D10" s="457"/>
      <c r="E10" s="458"/>
      <c r="F10" s="459"/>
      <c r="G10" s="459"/>
      <c r="H10" s="459"/>
      <c r="I10" s="459"/>
      <c r="J10" s="458"/>
      <c r="K10" s="456"/>
      <c r="L10" s="456"/>
      <c r="M10" s="456"/>
      <c r="N10" s="456"/>
      <c r="O10" s="456"/>
      <c r="P10" s="456"/>
      <c r="Q10" s="460"/>
      <c r="R10" s="460"/>
      <c r="S10" s="460"/>
      <c r="T10" s="460"/>
      <c r="U10" s="460" t="s">
        <v>900</v>
      </c>
      <c r="V10" s="460" t="s">
        <v>901</v>
      </c>
      <c r="W10" s="461"/>
      <c r="X10" s="462" t="s">
        <v>902</v>
      </c>
      <c r="Y10" s="462" t="s">
        <v>903</v>
      </c>
      <c r="Z10" s="462"/>
      <c r="AA10" s="462"/>
      <c r="AB10" s="462"/>
      <c r="AC10" s="462"/>
      <c r="AD10" s="462"/>
      <c r="AE10" s="462"/>
      <c r="AF10" s="462"/>
      <c r="AG10" s="462"/>
      <c r="AH10" s="462"/>
      <c r="AI10" s="462"/>
      <c r="AJ10" s="463" t="s">
        <v>904</v>
      </c>
      <c r="AK10" s="463" t="s">
        <v>905</v>
      </c>
      <c r="AL10" s="464" t="s">
        <v>906</v>
      </c>
      <c r="AM10" s="464" t="s">
        <v>907</v>
      </c>
      <c r="AN10" s="464" t="s">
        <v>908</v>
      </c>
      <c r="AO10" s="465" t="s">
        <v>909</v>
      </c>
      <c r="AP10" s="460"/>
      <c r="AQ10" s="460" t="s">
        <v>910</v>
      </c>
      <c r="AR10" s="460" t="s">
        <v>911</v>
      </c>
      <c r="AS10" s="460"/>
      <c r="AT10" s="465" t="s">
        <v>912</v>
      </c>
      <c r="AU10" s="465" t="s">
        <v>913</v>
      </c>
      <c r="AV10" s="460" t="s">
        <v>914</v>
      </c>
      <c r="AW10" s="460"/>
      <c r="AX10" s="460" t="s">
        <v>915</v>
      </c>
      <c r="AY10" s="460"/>
      <c r="AZ10" s="460"/>
      <c r="BA10" s="466"/>
      <c r="BB10" s="466" t="s">
        <v>916</v>
      </c>
      <c r="BC10" s="460" t="s">
        <v>917</v>
      </c>
      <c r="BD10" s="464"/>
      <c r="BE10" s="460"/>
      <c r="BF10" s="460"/>
      <c r="BG10" s="464"/>
      <c r="BH10" s="460" t="s">
        <v>918</v>
      </c>
      <c r="BI10" s="460"/>
      <c r="BJ10" s="467"/>
      <c r="BK10" s="462"/>
      <c r="BL10" s="462"/>
      <c r="BM10" s="460"/>
      <c r="BN10" s="460"/>
      <c r="BO10" s="460"/>
      <c r="BP10" s="460"/>
      <c r="BQ10" s="460"/>
      <c r="BR10" s="460"/>
      <c r="BS10" s="460"/>
      <c r="BT10" s="460"/>
      <c r="BU10" s="460"/>
      <c r="BV10" s="460"/>
      <c r="BW10" s="460" t="s">
        <v>919</v>
      </c>
      <c r="BX10" s="460" t="s">
        <v>920</v>
      </c>
      <c r="BY10" s="464" t="s">
        <v>921</v>
      </c>
      <c r="BZ10" s="460"/>
      <c r="CA10" s="460"/>
      <c r="CB10" s="464" t="s">
        <v>922</v>
      </c>
      <c r="CC10" s="464" t="s">
        <v>923</v>
      </c>
      <c r="CD10" s="460"/>
      <c r="CE10" s="460"/>
      <c r="CF10" s="460"/>
      <c r="CG10" s="460"/>
      <c r="CH10" s="460" t="s">
        <v>924</v>
      </c>
      <c r="CI10" s="460"/>
      <c r="CJ10" s="460"/>
      <c r="CK10" s="465" t="s">
        <v>925</v>
      </c>
      <c r="CL10" s="462"/>
      <c r="CM10" s="460"/>
      <c r="CN10" s="460"/>
      <c r="CO10" s="460"/>
      <c r="CP10" s="460"/>
      <c r="CQ10" s="460"/>
      <c r="CR10" s="460"/>
      <c r="CS10" s="460"/>
      <c r="CT10" s="464" t="s">
        <v>926</v>
      </c>
      <c r="CU10" s="460"/>
      <c r="CV10" s="460"/>
      <c r="CW10" s="460"/>
      <c r="CX10" s="468"/>
      <c r="CY10" s="468"/>
      <c r="CZ10" s="460"/>
      <c r="DA10" s="460"/>
      <c r="DB10" s="460"/>
      <c r="DC10" s="462"/>
      <c r="DD10" s="464" t="s">
        <v>927</v>
      </c>
      <c r="DE10" s="460"/>
      <c r="DF10" s="464" t="s">
        <v>928</v>
      </c>
      <c r="DG10" s="464"/>
      <c r="DH10" s="464" t="s">
        <v>923</v>
      </c>
      <c r="DI10" s="464" t="s">
        <v>929</v>
      </c>
      <c r="DJ10" s="464" t="s">
        <v>923</v>
      </c>
      <c r="DK10" s="460"/>
      <c r="DL10" s="460"/>
      <c r="DM10" s="464" t="s">
        <v>930</v>
      </c>
      <c r="DN10" s="460"/>
      <c r="DO10" s="455"/>
      <c r="DP10" s="459"/>
      <c r="DQ10" s="469"/>
      <c r="DR10" s="459"/>
      <c r="DS10" s="459" t="s">
        <v>931</v>
      </c>
      <c r="DT10" s="459"/>
      <c r="DU10" s="469"/>
      <c r="DV10" s="459"/>
      <c r="DW10" s="459" t="s">
        <v>932</v>
      </c>
      <c r="DX10" s="459" t="s">
        <v>933</v>
      </c>
      <c r="DY10" s="459" t="s">
        <v>934</v>
      </c>
      <c r="DZ10" s="470"/>
      <c r="EA10" s="471"/>
      <c r="EB10" s="471"/>
      <c r="EC10" s="471"/>
      <c r="ED10" s="471"/>
      <c r="EE10" s="459"/>
      <c r="EF10" s="472"/>
      <c r="EG10" s="473"/>
      <c r="EH10" s="473"/>
      <c r="EI10" s="474"/>
      <c r="EJ10" s="475"/>
      <c r="EK10" s="476"/>
      <c r="EL10" s="476"/>
      <c r="EM10" s="476"/>
      <c r="EN10" s="477"/>
      <c r="EO10" s="478"/>
      <c r="EP10" s="479"/>
      <c r="EQ10" s="480"/>
      <c r="ER10" s="480"/>
      <c r="ES10" s="480"/>
      <c r="ET10" s="481"/>
      <c r="EU10" s="482"/>
      <c r="EV10" s="482"/>
      <c r="EW10" s="483"/>
      <c r="EX10" s="483"/>
      <c r="EY10" s="483"/>
      <c r="EZ10" s="483"/>
      <c r="FA10" s="483"/>
      <c r="FB10" s="483"/>
      <c r="FC10" s="483"/>
      <c r="FD10" s="484"/>
      <c r="FE10" s="484"/>
      <c r="FF10" s="484"/>
      <c r="FG10" s="484"/>
      <c r="FH10" s="484"/>
      <c r="FI10" s="484"/>
      <c r="FJ10" s="484"/>
      <c r="FK10" s="484"/>
      <c r="FL10" s="484"/>
      <c r="FM10" s="484"/>
      <c r="FN10" s="484"/>
      <c r="FO10" s="484"/>
      <c r="FP10" s="484"/>
      <c r="FQ10" s="484"/>
      <c r="FR10" s="484"/>
      <c r="FS10" s="484"/>
      <c r="FT10" s="484"/>
      <c r="FU10" s="484"/>
      <c r="FV10" s="484"/>
      <c r="FW10" s="484"/>
      <c r="FX10" s="484"/>
    </row>
    <row r="11" spans="1:180" s="179" customFormat="1" ht="232.5" customHeight="1">
      <c r="A11" s="493" t="str">
        <f>IF(A7="formula",VLOOKUP(A8,'Payroll structure'!$A$2:$K$126,11,FALSE), "")</f>
        <v/>
      </c>
      <c r="B11" s="493" t="str">
        <f>IF(B7="formula",VLOOKUP(B8,'Payroll structure'!$A$2:$K$126,11,FALSE), "")</f>
        <v/>
      </c>
      <c r="C11" s="493" t="str">
        <f>IF(C7="formula",VLOOKUP(C8,'Payroll structure'!$A$2:$K$126,11,FALSE), "")</f>
        <v/>
      </c>
      <c r="D11" s="493" t="str">
        <f>IF(D7="formula",VLOOKUP(D8,'Payroll structure'!$A$2:$K$126,11,FALSE), "")</f>
        <v/>
      </c>
      <c r="E11" s="493" t="str">
        <f>IF(E7="formula",VLOOKUP(E8,'Payroll structure'!$A$2:$K$126,11,FALSE), "")</f>
        <v/>
      </c>
      <c r="F11" s="493" t="str">
        <f>IF(F7="formula",VLOOKUP(F8,'Payroll structure'!$A$2:$K$126,11,FALSE), "")</f>
        <v/>
      </c>
      <c r="G11" s="493" t="str">
        <f>IF(G7="formula",VLOOKUP(G8,'Payroll structure'!$A$2:$K$126,11,FALSE), "")</f>
        <v/>
      </c>
      <c r="H11" s="493" t="str">
        <f>IF(H7="formula",VLOOKUP(H8,'Payroll structure'!$A$2:$K$126,11,FALSE), "")</f>
        <v/>
      </c>
      <c r="I11" s="493" t="str">
        <f>IF(I7="formula",VLOOKUP(I8,'Payroll structure'!$A$2:$K$126,11,FALSE), "")</f>
        <v/>
      </c>
      <c r="J11" s="493" t="str">
        <f>IF(J7="formula",VLOOKUP(J8,'Payroll structure'!$A$2:$K$126,11,FALSE), "")</f>
        <v/>
      </c>
      <c r="K11" s="493" t="str">
        <f>IF(K7="formula",VLOOKUP(K8,'Payroll structure'!$A$2:$K$126,11,FALSE), "")</f>
        <v/>
      </c>
      <c r="L11" s="493" t="str">
        <f>IF(L7="formula",VLOOKUP(L8,'Payroll structure'!$A$2:$K$126,11,FALSE), "")</f>
        <v/>
      </c>
      <c r="M11" s="493" t="str">
        <f>IF(M7="formula",VLOOKUP(M8,'Payroll structure'!$A$2:$K$126,11,FALSE), "")</f>
        <v/>
      </c>
      <c r="N11" s="493" t="str">
        <f>IF(N7="formula",VLOOKUP(N8,'Payroll structure'!$A$2:$K$126,11,FALSE), "")</f>
        <v/>
      </c>
      <c r="O11" s="493" t="str">
        <f>IF(O7="formula",VLOOKUP(O8,'Payroll structure'!$A$2:$K$126,11,FALSE), "")</f>
        <v/>
      </c>
      <c r="P11" s="493" t="str">
        <f>IF(P7="formula",VLOOKUP(P8,'Payroll structure'!$A$2:$K$126,11,FALSE), "")</f>
        <v/>
      </c>
      <c r="Q11" s="493" t="str">
        <f>IF(Q7="formula",VLOOKUP(Q8,'Payroll structure'!$A$2:$K$126,11,FALSE), "")</f>
        <v/>
      </c>
      <c r="R11" s="493" t="str">
        <f>IF(R7="formula",VLOOKUP(R8,'Payroll structure'!$A$2:$K$126,11,FALSE), "")</f>
        <v/>
      </c>
      <c r="S11" s="493" t="str">
        <f>IF(S7="formula",VLOOKUP(S8,'Payroll structure'!$A$2:$K$126,11,FALSE), "")</f>
        <v/>
      </c>
      <c r="T11" s="493" t="str">
        <f>IF(T7="formula",VLOOKUP(T8,'Payroll structure'!$A$2:$K$126,11,FALSE), "")</f>
        <v>IF(Loại hợp đồng="Chính thức": Chính thức (100%) + Phụ cấp Trách nhiệm; 
ELSE: Thử việc (85%))  (nguồn: T9)</v>
      </c>
      <c r="U11" s="493" t="str">
        <f>IF(U7="formula",VLOOKUP(U8,'Payroll structure'!$A$2:$K$126,11,FALSE), "")</f>
        <v>IF(Loại hợp đồng="Chính thức": MIN(Tổng lương trên HĐLĐ, 50.600.000); else = 0)  (nguồn: U9)
Nhân viên có hợp đồng 2 nơi, thì k đóng BHXH, BHYT</v>
      </c>
      <c r="V11" s="493" t="str">
        <f>IF(V7="formula",VLOOKUP(V8,'Payroll structure'!$A$2:$K$126,11,FALSE), "")</f>
        <v>IF(Loại hợp đồng="Chính thức": MIN(Tổng lương trên HĐLĐ, 106.200.000); expath = 0; ELSE: 0)  (nguồn: V9)
Nhân viên có hđ 2 nơi thì k đóng BHTN</v>
      </c>
      <c r="W11" s="493" t="str">
        <f>IF(W7="formula",VLOOKUP(W8,'Payroll structure'!$A$2:$K$126,11,FALSE), "")</f>
        <v/>
      </c>
      <c r="X11" s="493" t="str">
        <f>IF(X7="formula",VLOOKUP(X8,'Payroll structure'!$A$2:$K$126,11,FALSE), "")</f>
        <v/>
      </c>
      <c r="Y11" s="493" t="str">
        <f>IF(Y7="formula",VLOOKUP(Y8,'Payroll structure'!$A$2:$K$126,11,FALSE), "")</f>
        <v/>
      </c>
      <c r="Z11" s="493" t="str">
        <f>IF(Z7="formula",VLOOKUP(Z8,'Payroll structure'!$A$2:$K$126,11,FALSE), "")</f>
        <v/>
      </c>
      <c r="AA11" s="493" t="str">
        <f>IF(AA7="formula",VLOOKUP(AA8,'Payroll structure'!$A$2:$K$126,11,FALSE), "")</f>
        <v/>
      </c>
      <c r="AB11" s="493" t="str">
        <f>IF(AB7="formula",VLOOKUP(AB8,'Payroll structure'!$A$2:$K$126,11,FALSE), "")</f>
        <v/>
      </c>
      <c r="AC11" s="493" t="e">
        <f>IF(AC7="formula",VLOOKUP(AC8,'Payroll structure'!$A$2:$K$126,11,FALSE), "")</f>
        <v>#N/A</v>
      </c>
      <c r="AD11" s="493" t="e">
        <f>IF(AD7="formula",VLOOKUP(AD8,'Payroll structure'!$A$2:$K$126,11,FALSE), "")</f>
        <v>#N/A</v>
      </c>
      <c r="AE11" s="493" t="str">
        <f>IF(AE7="formula",VLOOKUP(AE8,'Payroll structure'!$A$2:$K$126,11,FALSE), "")</f>
        <v/>
      </c>
      <c r="AF11" s="493" t="str">
        <f>IF(AF7="formula",VLOOKUP(AF8,'Payroll structure'!$A$2:$K$126,11,FALSE), "")</f>
        <v/>
      </c>
      <c r="AG11" s="493" t="str">
        <f>IF(AG7="formula",VLOOKUP(AG8,'Payroll structure'!$A$2:$K$126,11,FALSE), "")</f>
        <v/>
      </c>
      <c r="AH11" s="493" t="e">
        <f>IF(AH7="formula",VLOOKUP(AH8,'Payroll structure'!$A$2:$K$126,11,FALSE), "")</f>
        <v>#N/A</v>
      </c>
      <c r="AI11" s="493" t="str">
        <f>IF(AI7="formula",VLOOKUP(AI8,'Payroll structure'!$A$2:$K$126,11,FALSE), "")</f>
        <v>IF(Loại hợp đồng="Chính thức") : Ngày làm việc thực tế-Sau thử việc + Nghỉ phép năm + Nghỉ lễ, tết + Nghỉ bù + Nghỉ có hưởng lương + Nghỉ chế độ (ma chay, hiếu hỉ); 
ELSE: Ngày làm việc thực tế-Thử việc + Nghỉ phép năm + Nghỉ lễ, tết + Nghỉ bù + Nghỉ có hưởng lương + Nghỉ chế độ (ma chay, hiếu hỉ))  (nguồn: AI9)</v>
      </c>
      <c r="AJ11" s="493" t="str">
        <f>IF(AJ7="formula",VLOOKUP(AJ8,'Payroll structure'!$A$2:$K$126,11,FALSE), "")</f>
        <v>IF(Loại hợp đồng="Thử việc": ROUND(Thử việc (85%) / CÔNG CHUẨN × Tổng số ngày làm việc hưởng lương); ELSE: 0)  (nguồn: AJ9)</v>
      </c>
      <c r="AK11" s="493" t="str">
        <f>IF(AK7="formula",VLOOKUP(AK8,'Payroll structure'!$A$2:$K$126,11,FALSE), "")</f>
        <v>IF(Loại hợp đồng="Chính thức": ROUND(Chính thức (100%) / CÔNG CHUẨN × Tổng số ngày làm việc hưởng lương); ELSE: 0)  (nguồn: AK9)</v>
      </c>
      <c r="AL11" s="493" t="str">
        <f>IF(AL7="formula",VLOOKUP(AL8,'Payroll structure'!$A$2:$K$126,11,FALSE), "")</f>
        <v>ROUND(Phụ cấp Trách nhiệm / CÔNG CHUẨN × Tổng số ngày làm việc hưởng lương)  (nguồn: AL9)</v>
      </c>
      <c r="AM11" s="493" t="str">
        <f>IF(AM7="formula",VLOOKUP(AM8,'Payroll structure'!$A$2:$K$126,11,FALSE), "")</f>
        <v>=ngày phép tồn/ngày công chuẩn * Mức lương, chỉ áp dụng cho nhân viên chính thức</v>
      </c>
      <c r="AN11" s="493" t="str">
        <f>IF(AN7="formula",VLOOKUP(AN8,'Payroll structure'!$A$2:$K$126,11,FALSE), "")</f>
        <v>ROUND(Lương Thử việc + Lương chính thức + Phụ cấp Trách nhiệm + Lương phép tồn)  (nguồn: AN9 — lưu ý: có cộng thêm "Lương phép tồn", công thức Structure không có mục này)</v>
      </c>
      <c r="AO11" s="493" t="str">
        <f>IF(AO7="formula",VLOOKUP(AO8,'Payroll structure'!$A$2:$K$126,11,FALSE), "")</f>
        <v>Không có công thức trong sample - "PC cơm (Taxable)" được nhập trực tiếp (Input), không tính từ tổng bữa ăn</v>
      </c>
      <c r="AP11" s="493" t="str">
        <f>IF(AP7="formula",VLOOKUP(AP8,'Payroll structure'!$A$2:$K$126,11,FALSE), "")</f>
        <v/>
      </c>
      <c r="AQ11" s="493" t="str">
        <f>IF(AQ7="formula",VLOOKUP(AQ8,'Payroll structure'!$A$2:$K$126,11,FALSE), "")</f>
        <v/>
      </c>
      <c r="AR11" s="493" t="str">
        <f>IF(AR7="formula",VLOOKUP(AR8,'Payroll structure'!$A$2:$K$126,11,FALSE), "")</f>
        <v>Không có công thức trong sample - "PC đi lại (Taxable)" được nhập trực tiếp (Input)</v>
      </c>
      <c r="AS11" s="493" t="str">
        <f>IF(AS7="formula",VLOOKUP(AS8,'Payroll structure'!$A$2:$K$126,11,FALSE), "")</f>
        <v/>
      </c>
      <c r="AT11" s="493" t="str">
        <f>IF(AT7="formula",VLOOKUP(AT8,'Payroll structure'!$A$2:$K$126,11,FALSE), "")</f>
        <v/>
      </c>
      <c r="AU11" s="493" t="str">
        <f>IF(AU7="formula",VLOOKUP(AU8,'Payroll structure'!$A$2:$K$126,11,FALSE), "")</f>
        <v>Không có công thức trong sample - "PC cơm (Non-tax)" được nhập trực tiếp (Input)</v>
      </c>
      <c r="AV11" s="493" t="str">
        <f>IF(AV7="formula",VLOOKUP(AV8,'Payroll structure'!$A$2:$K$126,11,FALSE), "")</f>
        <v>Không có công thức trong sample - "PC điện thoại (Non-tax)" được nhập trực tiếp (Input)</v>
      </c>
      <c r="AW11" s="493" t="str">
        <f>IF(AW7="formula",VLOOKUP(AW8,'Payroll structure'!$A$2:$K$126,11,FALSE), "")</f>
        <v/>
      </c>
      <c r="AX11" s="493" t="str">
        <f>IF(AX7="formula",VLOOKUP(AX8,'Payroll structure'!$A$2:$K$126,11,FALSE), "")</f>
        <v/>
      </c>
      <c r="AY11" s="493" t="str">
        <f>IF(AY7="formula",VLOOKUP(AY8,'Payroll structure'!$A$2:$K$126,11,FALSE), "")</f>
        <v/>
      </c>
      <c r="AZ11" s="493" t="str">
        <f>IF(AZ7="formula",VLOOKUP(AZ8,'Payroll structure'!$A$2:$K$126,11,FALSE), "")</f>
        <v/>
      </c>
      <c r="BA11" s="493" t="str">
        <f>IF(BA7="formula",VLOOKUP(BA8,'Payroll structure'!$A$2:$K$126,11,FALSE), "")</f>
        <v/>
      </c>
      <c r="BB11" s="493" t="str">
        <f>IF(BB7="formula",VLOOKUP(BB8,'Payroll structure'!$A$2:$K$126,11,FALSE), "")</f>
        <v/>
      </c>
      <c r="BC11" s="493" t="str">
        <f>IF(BC7="formula",VLOOKUP(BC8,'Payroll structure'!$A$2:$K$126,11,FALSE), "")</f>
        <v/>
      </c>
      <c r="BD11" s="493" t="str">
        <f>IF(BD7="formula",VLOOKUP(BD8,'Payroll structure'!$A$2:$K$126,11,FALSE), "")</f>
        <v/>
      </c>
      <c r="BE11" s="493" t="str">
        <f>IF(BE7="formula",VLOOKUP(BE8,'Payroll structure'!$A$2:$K$126,11,FALSE), "")</f>
        <v/>
      </c>
      <c r="BF11" s="493" t="str">
        <f>IF(BF7="formula",VLOOKUP(BF8,'Payroll structure'!$A$2:$K$126,11,FALSE), "")</f>
        <v/>
      </c>
      <c r="BG11" s="493" t="str">
        <f>IF(BG7="formula",VLOOKUP(BG8,'Payroll structure'!$A$2:$K$126,11,FALSE), "")</f>
        <v/>
      </c>
      <c r="BH11" s="493" t="str">
        <f>IF(BH7="formula",VLOOKUP(BH8,'Payroll structure'!$A$2:$K$126,11,FALSE), "")</f>
        <v/>
      </c>
      <c r="BI11" s="493" t="str">
        <f>IF(BI7="formula",VLOOKUP(BI8,'Payroll structure'!$A$2:$K$126,11,FALSE), "")</f>
        <v/>
      </c>
      <c r="BJ11" s="493" t="str">
        <f>IF(BJ7="formula",VLOOKUP(BJ8,'Payroll structure'!$A$2:$K$126,11,FALSE), "")</f>
        <v/>
      </c>
      <c r="BK11" s="493" t="str">
        <f>IF(BK7="formula",VLOOKUP(BK8,'Payroll structure'!$A$2:$K$126,11,FALSE), "")</f>
        <v/>
      </c>
      <c r="BL11" s="493" t="str">
        <f>IF(BL7="formula",VLOOKUP(BL8,'Payroll structure'!$A$2:$K$126,11,FALSE), "")</f>
        <v/>
      </c>
      <c r="BM11" s="493" t="str">
        <f>IF(BM7="formula",VLOOKUP(BM8,'Payroll structure'!$A$2:$K$126,11,FALSE), "")</f>
        <v/>
      </c>
      <c r="BN11" s="493" t="str">
        <f>IF(BN7="formula",VLOOKUP(BN8,'Payroll structure'!$A$2:$K$126,11,FALSE), "")</f>
        <v/>
      </c>
      <c r="BO11" s="493" t="str">
        <f>IF(BO7="formula",VLOOKUP(BO8,'Payroll structure'!$A$2:$K$126,11,FALSE), "")</f>
        <v/>
      </c>
      <c r="BP11" s="493" t="str">
        <f>IF(BP7="formula",VLOOKUP(BP8,'Payroll structure'!$A$2:$K$126,11,FALSE), "")</f>
        <v/>
      </c>
      <c r="BQ11" s="493" t="str">
        <f>IF(BQ7="formula",VLOOKUP(BQ8,'Payroll structure'!$A$2:$K$126,11,FALSE), "")</f>
        <v/>
      </c>
      <c r="BR11" s="493" t="str">
        <f>IF(BR7="formula",VLOOKUP(BR8,'Payroll structure'!$A$2:$K$126,11,FALSE), "")</f>
        <v/>
      </c>
      <c r="BS11" s="493" t="e">
        <f>IF(BS7="formula",VLOOKUP(BS8,'Payroll structure'!$A$2:$K$126,11,FALSE), "")</f>
        <v>#N/A</v>
      </c>
      <c r="BT11" s="493" t="str">
        <f>IF(BT7="formula",VLOOKUP(BT8,'Payroll structure'!$A$2:$K$126,11,FALSE), "")</f>
        <v/>
      </c>
      <c r="BU11" s="493" t="str">
        <f>IF(BU7="formula",VLOOKUP(BU8,'Payroll structure'!$A$2:$K$126,11,FALSE), "")</f>
        <v/>
      </c>
      <c r="BV11" s="493" t="str">
        <f>IF(BV7="formula",VLOOKUP(BV8,'Payroll structure'!$A$2:$K$126,11,FALSE), "")</f>
        <v/>
      </c>
      <c r="BW11" s="493" t="str">
        <f>IF(BW7="formula",VLOOKUP(BW8,'Payroll structure'!$A$2:$K$126,11,FALSE), "")</f>
        <v>Tổng lương thực tế trong tháng + PC cơm(Taxable) + PC điện thoại(Taxable) + PC NL/Xăng(Taxable) + PC đi lại(Taxable) + PC nhà ở(Taxable) + PC Khác(Taxable) + PC cơm(Non-tax) + PC điện thoại(Non-tax) + PC NL/Xăng(Non-tax) + PC đi lại(Non-tax) + PC Nhà ở(Non-tax) + PC Khác(Non-tax) + OT Taxable + OT Non-tax + Tết âm lịch + Thưởng 30/04 + Coteccons Day + Thưởng 02/09 + Thưởng KPIs + Lương tháng 13 + Tết dương lịch + Thưởng dự án + Thưởng cá nhân xuất sắc + Lộc đầu năm + Thưởng khác + Du lịch + Thưởng giới thiệu ứng viên nội bộ + Trợ cấp nghỉ việc + Trợ cấp BHXH chi vào lương + Trợ cấp khác + Các khoản trợ cấp khác + Điều chỉnh cộng lương + Điều chỉnh trừ lương  (nguồn: BW9 = SUM(AN9:BU9); lưu ý "Điều chỉnh trừ lương" đang được CỘNG chứ không trừ)</v>
      </c>
      <c r="BX11" s="493" t="str">
        <f>IF(BX7="formula",VLOOKUP(BX8,'Payroll structure'!$A$2:$K$126,11,FALSE), "")</f>
        <v>(Tổng lương thực tế trong tháng + PC cơm(Taxable) + PC điện thoại(Taxable) + PC NL/Xăng(Taxable) + PC đi lại(Taxable) + PC nhà ở(Taxable) + PC Khác(Taxable)) + OT Taxable + (Tết âm lịch + Thưởng 30/04 + Coteccons Day + Thưởng 02/09 + Thưởng KPIs + Lương tháng 13 + Tết dương lịch + Thưởng dự án + Thưởng cá nhân xuất sắc + Lộc đầu năm + Thưởng khác + Du lịch + Thưởng giới thiệu ứng viên nội bộ + Trợ cấp nghỉ việc + Trợ cấp BHXH chi vào lương + Trợ cấp khác + Các khoản trợ cấp khác + Điều chỉnh cộng lương + Điều chỉnh trừ lương) − Từ thiện − Lương phép tồn  (nguồn: BX9)</v>
      </c>
      <c r="BY11" s="493" t="str">
        <f>IF(BY7="formula",VLOOKUP(BY8,'Payroll structure'!$A$2:$K$126,11,FALSE), "")</f>
        <v>Không có công thức sống trong sample, là giá trị cố định = MIN(Tổng lương trên HĐLĐ, 50.600.000) × 8%  (nguồn: BY9)</v>
      </c>
      <c r="BZ11" s="493" t="str">
        <f>IF(BZ7="formula",VLOOKUP(BZ8,'Payroll structure'!$A$2:$K$126,11,FALSE), "")</f>
        <v/>
      </c>
      <c r="CA11" s="493" t="str">
        <f>IF(CA7="formula",VLOOKUP(CA8,'Payroll structure'!$A$2:$K$126,11,FALSE), "")</f>
        <v>Không có công thức sống trong sample, là giá trị cố định = MIN(Tổng lương trên HĐLĐ, 46.800.000) × 1.5%  (nguồn: CA9)</v>
      </c>
      <c r="CB11" s="493" t="str">
        <f>IF(CB7="formula",VLOOKUP(CB8,'Payroll structure'!$A$2:$K$126,11,FALSE), "")</f>
        <v/>
      </c>
      <c r="CC11" s="493" t="str">
        <f>IF(CC7="formula",VLOOKUP(CC8,'Payroll structure'!$A$2:$K$126,11,FALSE), "")</f>
        <v>Không có công thức sống trong sample, là giá trị cố định = MIN(Tổng lương trên HĐLĐ, 106.200.000) × 1%  (nguồn: CC9)</v>
      </c>
      <c r="CD11" s="493" t="str">
        <f>IF(CD7="formula",VLOOKUP(CD8,'Payroll structure'!$A$2:$K$126,11,FALSE), "")</f>
        <v/>
      </c>
      <c r="CE11" s="493" t="str">
        <f>IF(CE7="formula",VLOOKUP(CE8,'Payroll structure'!$A$2:$K$126,11,FALSE), "")</f>
        <v>BHXH 8%(NV) + Đ/C BHXH 8%(NV) + BHYT 1.5%(NV) + Đ/C BHYT 1.5%(NV) + BHTN 1%(NV) + Đ/C BHTN 1%(NV)  (nguồn: CE9)</v>
      </c>
      <c r="CF11" s="493" t="str">
        <f>IF(CF7="formula",VLOOKUP(CF8,'Payroll structure'!$A$2:$K$126,11,FALSE), "")</f>
        <v>IF(Loại hợp đồng="Chính thức": 15.500.000;  (nguồn: CF9)</v>
      </c>
      <c r="CG11" s="493" t="str">
        <f>IF(CG7="formula",VLOOKUP(CG8,'Payroll structure'!$A$2:$K$126,11,FALSE), "")</f>
        <v/>
      </c>
      <c r="CH11" s="493" t="str">
        <f>IF(CH7="formula",VLOOKUP(CH8,'Payroll structure'!$A$2:$K$126,11,FALSE), "")</f>
        <v>Số NPT × 6.200.000  (nguồn: CH9)</v>
      </c>
      <c r="CI11" s="493" t="str">
        <f>IF(CI7="formula",VLOOKUP(CI8,'Payroll structure'!$A$2:$K$126,11,FALSE), "")</f>
        <v>Giảm trừ bản thân + Giảm trừ gia cảnh  (nguồn: CI9)</v>
      </c>
      <c r="CJ11" s="493" t="str">
        <f>IF(CJ7="formula",VLOOKUP(CJ8,'Payroll structure'!$A$2:$K$126,11,FALSE), "")</f>
        <v>MAX(0, Tổng thu nhập chịu thuế − Tổng BHXH của NLĐ − Tổng khoản giảm trừ)  (nguồn: CJ9 — lưu ý: không trừ "Từ thiện" như công thức Structure)</v>
      </c>
      <c r="CK11" s="493" t="str">
        <f>IF(CK7="formula",VLOOKUP(CK8,'Payroll structure'!$A$2:$K$126,11,FALSE), "")</f>
        <v/>
      </c>
      <c r="CL11" s="493" t="str">
        <f>IF(CL7="formula",VLOOKUP(CL8,'Payroll structure'!$A$2:$K$126,11,FALSE), "")</f>
        <v/>
      </c>
      <c r="CM11" s="494" t="str">
        <f>IF(CM7="formula",VLOOKUP(CM8,'Payroll structure'!$A$2:$K$126,11,FALSE), "")</f>
        <v>Thuế TNCN + Điều chỉnh thuế TNCN  (nguồn: CM9)</v>
      </c>
      <c r="CN11" s="493" t="str">
        <f>IF(CN7="formula",VLOOKUP(CN8,'Payroll structure'!$A$2:$K$126,11,FALSE), "")</f>
        <v>Tổng thu nhập trong tháng − Tổng BHXH của NLĐ − Tổng thuế TNCN đã khấu trừ  (nguồn: CN9)</v>
      </c>
      <c r="CO11" s="493" t="str">
        <f>IF(CO7="formula",VLOOKUP(CO8,'Payroll structure'!$A$2:$K$126,11,FALSE), "")</f>
        <v/>
      </c>
      <c r="CP11" s="493" t="str">
        <f>IF(CP7="formula",VLOOKUP(CP8,'Payroll structure'!$A$2:$K$126,11,FALSE), "")</f>
        <v/>
      </c>
      <c r="CQ11" s="493" t="str">
        <f>IF(CQ7="formula",VLOOKUP(CQ8,'Payroll structure'!$A$2:$K$126,11,FALSE), "")</f>
        <v/>
      </c>
      <c r="CR11" s="493" t="str">
        <f>IF(CR7="formula",VLOOKUP(CR8,'Payroll structure'!$A$2:$K$126,11,FALSE), "")</f>
        <v/>
      </c>
      <c r="CS11" s="493" t="str">
        <f>IF(CS7="formula",VLOOKUP(CS8,'Payroll structure'!$A$2:$K$126,11,FALSE), "")</f>
        <v/>
      </c>
      <c r="CT11" s="493" t="str">
        <f>IF(CT7="formula",VLOOKUP(CT8,'Payroll structure'!$A$2:$K$126,11,FALSE), "")</f>
        <v>Không có công thức sống trong sample, là giá trị cố định = Mức lương đóng BHXH, BHYT × 0.5% (KHÔNG phải Tổng lương trên HĐLĐ × 0.5% như Structure)  (nguồn: CT9) + MAX = 253.000</v>
      </c>
      <c r="CU11" s="493" t="str">
        <f>IF(CU7="formula",VLOOKUP(CU8,'Payroll structure'!$A$2:$K$126,11,FALSE), "")</f>
        <v/>
      </c>
      <c r="CV11" s="493" t="str">
        <f>IF(CV7="formula",VLOOKUP(CV8,'Payroll structure'!$A$2:$K$126,11,FALSE), "")</f>
        <v/>
      </c>
      <c r="CW11" s="493" t="str">
        <f>IF(CW7="formula",VLOOKUP(CW8,'Payroll structure'!$A$2:$K$126,11,FALSE), "")</f>
        <v/>
      </c>
      <c r="CX11" s="493" t="str">
        <f>IF(CX7="formula",VLOOKUP(CX8,'Payroll structure'!$A$2:$K$126,11,FALSE), "")</f>
        <v/>
      </c>
      <c r="CY11" s="493" t="str">
        <f>IF(CY7="formula",VLOOKUP(CY8,'Payroll structure'!$A$2:$K$126,11,FALSE), "")</f>
        <v/>
      </c>
      <c r="CZ11" s="494" t="str">
        <f>IF(CZ7="formula",VLOOKUP(CZ8,'Payroll structure'!$A$2:$K$126,11,FALSE), "")</f>
        <v>Thu nhập thuần + (Hoàn quyết toán thuế + Chế độ BHXH + Trợ cấp thôi việc(trước 2009) + Trợ cấp thôi việc NĐ145/2020 + Các khoản cộng sau thuế khác) − (Phí công đoàn 0.5% + Thu hộ BHBV + Trừ lộc đầu năm + Thu thêm quyết toán thuế + Các khoản trừ sau thuế khác + Các khoản trừ sau thuế khác(BHSK))  (nguồn: CZ9)</v>
      </c>
      <c r="DA11" s="494" t="e">
        <f>IF(DA7="formula",VLOOKUP(DA8,'Payroll structure'!$A$2:$K$126,11,FALSE), "")</f>
        <v>#N/A</v>
      </c>
      <c r="DB11" s="494">
        <f>IF(DB7="formula",VLOOKUP(DB8,'Payroll structure'!$A$2:$K$126,11,FALSE), "")</f>
        <v>0</v>
      </c>
      <c r="DC11" s="493" t="e">
        <f>IF(DC7="formula",VLOOKUP(DC8,'Payroll structure'!$A$2:$K$126,11,FALSE), "")</f>
        <v>#N/A</v>
      </c>
      <c r="DD11" s="493" t="str">
        <f>IF(DD7="formula",VLOOKUP(DD8,'Payroll structure'!$A$2:$K$126,11,FALSE), "")</f>
        <v>Không có công thức sống trong sample, là giá trị cố định = MIN(Tổng lương trên HĐLĐ, 46.800.000) × 17%  (nguồn: DD9)</v>
      </c>
      <c r="DE11" s="493" t="str">
        <f>IF(DE7="formula",VLOOKUP(DE8,'Payroll structure'!$A$2:$K$126,11,FALSE), "")</f>
        <v/>
      </c>
      <c r="DF11" s="493" t="str">
        <f>IF(DF7="formula",VLOOKUP(DF8,'Payroll structure'!$A$2:$K$126,11,FALSE), "")</f>
        <v>Không có công thức sống trong sample, là giá trị cố định = MIN(Tổng lương trên HĐLĐ, 46.800.000) × 0.5%  (nguồn: DF9)</v>
      </c>
      <c r="DG11" s="493" t="str">
        <f>IF(DG7="formula",VLOOKUP(DG8,'Payroll structure'!$A$2:$K$126,11,FALSE), "")</f>
        <v/>
      </c>
      <c r="DH11" s="493" t="str">
        <f>IF(DH7="formula",VLOOKUP(DH8,'Payroll structure'!$A$2:$K$126,11,FALSE), "")</f>
        <v>Không có công thức sống trong sample, là giá trị cố định = MIN(Tổng lương trên HĐLĐ, 46.800.000) × 3%  (nguồn: DH9)</v>
      </c>
      <c r="DI11" s="493" t="str">
        <f>IF(DI7="formula",VLOOKUP(DI8,'Payroll structure'!$A$2:$K$126,11,FALSE), "")</f>
        <v/>
      </c>
      <c r="DJ11" s="493" t="str">
        <f>IF(DJ7="formula",VLOOKUP(DJ8,'Payroll structure'!$A$2:$K$126,11,FALSE), "")</f>
        <v>Không có công thức sống trong sample, là giá trị cố định = MIN(Tổng lương trên HĐLĐ, 106.200.000) × 1%  (nguồn: DJ9)</v>
      </c>
      <c r="DK11" s="493" t="str">
        <f>IF(DK7="formula",VLOOKUP(DK8,'Payroll structure'!$A$2:$K$126,11,FALSE), "")</f>
        <v/>
      </c>
      <c r="DL11" s="493" t="str">
        <f>IF(DL7="formula",VLOOKUP(DL8,'Payroll structure'!$A$2:$K$126,11,FALSE), "")</f>
        <v>BHXH 17% + Đ/C BHXH 17% + BHTNLĐ-BNN 0.5% + Đ/C BHTNLĐ-BNN 0.5% + BHYT 3% + Đ/C BHYT 3% + BHTN 1% + Đ/C BHTN 1%  (nguồn: DL9)</v>
      </c>
      <c r="DM11" s="493" t="str">
        <f>IF(DM7="formula",VLOOKUP(DM8,'Payroll structure'!$A$2:$K$126,11,FALSE), "")</f>
        <v>Không có công thức sống trong sample, là giá trị cố định 
NV chính thức = Mức lương đóng BHXH, BHYT × 2% (KHÔNG phải Tổng lương trên HĐLĐ × 2% như Structure)  (nguồn: DM9)
Thử việc = 0?</v>
      </c>
      <c r="DN11" s="493" t="str">
        <f>IF(DN7="formula",VLOOKUP(DN8,'Payroll structure'!$A$2:$K$126,11,FALSE), "")</f>
        <v>Tổng BHXH Cty đóng + 2% KPCĐ + Lương thực nhận (VND)  (nguồn: DN9 — lưu ý: dùng "Lương thực nhận" (NET_PAY), không phải "Tổng thu nhập trong tháng" (GROSS) như Structure)</v>
      </c>
      <c r="DO11" s="493" t="e">
        <f>IF(DO7="formula",VLOOKUP(DO8,'Payroll structure'!$A$2:$K$126,11,FALSE), "")</f>
        <v>#N/A</v>
      </c>
      <c r="DP11" s="493" t="str">
        <f>IF(DP7="formula",VLOOKUP(DP8,'Payroll structure'!$A$2:$K$126,11,FALSE), "")</f>
        <v/>
      </c>
      <c r="DQ11" s="493" t="str">
        <f>IF(DQ7="formula",VLOOKUP(DQ8,'Payroll structure'!$A$2:$K$126,11,FALSE), "")</f>
        <v>missing fomula</v>
      </c>
      <c r="DR11" s="493" t="str">
        <f>IF(DR7="formula",VLOOKUP(DR8,'Payroll structure'!$A$2:$K$126,11,FALSE), "")</f>
        <v>missing fomula</v>
      </c>
      <c r="DS11" s="493" t="str">
        <f>IF(DS7="formula",VLOOKUP(DS8,'Payroll structure'!$A$2:$K$126,11,FALSE), "")</f>
        <v>Nếu không có termination: 10tr/12</v>
      </c>
      <c r="DT11" s="493" t="str">
        <f>IF(DT7="formula",VLOOKUP(DT8,'Payroll structure'!$A$2:$K$126,11,FALSE), "")</f>
        <v>missing fomula</v>
      </c>
      <c r="DU11" s="493" t="str">
        <f>IF(DU7="formula",VLOOKUP(DU8,'Payroll structure'!$A$2:$K$126,11,FALSE), "")</f>
        <v>missing fomula</v>
      </c>
      <c r="DV11" s="493" t="str">
        <f>IF(DV7="formula",VLOOKUP(DV8,'Payroll structure'!$A$2:$K$126,11,FALSE), "")</f>
        <v>missing fomula</v>
      </c>
      <c r="DW11" s="493" t="str">
        <f>IF(DW7="formula",VLOOKUP(DW8,'Payroll structure'!$A$2:$K$126,11,FALSE), "")</f>
        <v>Nếu không có termination: [CONTRACT_TOTAL]/4</v>
      </c>
      <c r="DX11" s="493" t="str">
        <f>IF(DX7="formula",VLOOKUP(DX8,'Payroll structure'!$A$2:$K$126,11,FALSE), "")</f>
        <v>Nếu không có termination: [CONTRACT_TOTAL]/12</v>
      </c>
      <c r="DY11" s="493" t="str">
        <f>IF(DY7="formula",VLOOKUP(DY8,'Payroll structure'!$A$2:$K$126,11,FALSE), "")</f>
        <v>Nếu không có termination: min([CONTRACT_TOTAL], 15.000.000)/12</v>
      </c>
      <c r="DZ11" s="493" t="e">
        <f>IF(DZ7="formula",VLOOKUP(DZ8,'Payroll structure'!$A$2:$K$126,11,FALSE), "")</f>
        <v>#N/A</v>
      </c>
      <c r="EA11" s="493" t="e">
        <f>IF(EA7="formula",VLOOKUP(EA8,'Payroll structure'!$A$2:$K$126,11,FALSE), "")</f>
        <v>#N/A</v>
      </c>
      <c r="EB11" s="493" t="e">
        <f>IF(EB7="formula",VLOOKUP(EB8,'Payroll structure'!$A$2:$K$126,11,FALSE), "")</f>
        <v>#N/A</v>
      </c>
      <c r="EC11" s="493" t="e">
        <f>IF(EC7="formula",VLOOKUP(EC8,'Payroll structure'!$A$2:$K$126,11,FALSE), "")</f>
        <v>#N/A</v>
      </c>
      <c r="ED11" s="493" t="e">
        <f>IF(ED7="formula",VLOOKUP(ED8,'Payroll structure'!$A$2:$K$126,11,FALSE), "")</f>
        <v>#N/A</v>
      </c>
      <c r="EE11" s="493" t="str">
        <f>IF(EE7="formula",VLOOKUP(EE8,'Payroll structure'!$A$2:$K$126,11,FALSE), "")</f>
        <v>=[TOTAL_CTY_COST] + [BONUS_SAVE_TRAVEL] + [BONUS_SAVE_KPI] + [BONUS_SAVE_13M] + [BONUS_SAVE_TET]</v>
      </c>
      <c r="EY11" s="184"/>
    </row>
    <row r="12" spans="1:180">
      <c r="CM12" s="257"/>
    </row>
    <row r="13" spans="1:180">
      <c r="Q13" s="257"/>
      <c r="R13" s="257"/>
    </row>
    <row r="14" spans="1:180">
      <c r="Q14" s="257"/>
      <c r="R14" s="257"/>
      <c r="AI14" s="257"/>
      <c r="AJ14" s="257"/>
      <c r="DB14" s="257"/>
    </row>
    <row r="15" spans="1:180">
      <c r="Q15" s="257"/>
      <c r="R15" s="257"/>
      <c r="AI15" s="257"/>
      <c r="AJ15" s="257"/>
      <c r="DB15" s="257"/>
    </row>
    <row r="16" spans="1:180">
      <c r="Q16" s="257"/>
      <c r="R16" s="257"/>
      <c r="AI16" s="257"/>
      <c r="AJ16" s="257"/>
      <c r="DB16" s="257"/>
    </row>
    <row r="17" spans="17:106">
      <c r="Q17" s="257"/>
      <c r="R17" s="257"/>
      <c r="AI17" s="259"/>
      <c r="AJ17" s="257"/>
      <c r="DB17" s="257"/>
    </row>
    <row r="18" spans="17:106">
      <c r="R18" s="257"/>
      <c r="AI18" s="257"/>
      <c r="AJ18" s="257"/>
      <c r="DB18" s="257"/>
    </row>
    <row r="19" spans="17:106">
      <c r="R19" s="257"/>
      <c r="DB19" s="257"/>
    </row>
    <row r="20" spans="17:106">
      <c r="R20" s="257"/>
      <c r="DB20" s="257"/>
    </row>
    <row r="21" spans="17:106">
      <c r="R21" s="257"/>
      <c r="DB21" s="257"/>
    </row>
    <row r="143" spans="3:3">
      <c r="C143" s="71" t="s">
        <v>935</v>
      </c>
    </row>
  </sheetData>
  <autoFilter ref="A7:FC7" xr:uid="{136EA480-295F-448C-B7CE-405046F5DA54}"/>
  <mergeCells count="54">
    <mergeCell ref="C5:C6"/>
    <mergeCell ref="B5:B6"/>
    <mergeCell ref="A5:A6"/>
    <mergeCell ref="CN5:CN6"/>
    <mergeCell ref="BX5:BX6"/>
    <mergeCell ref="BW5:BW6"/>
    <mergeCell ref="BV5:BV6"/>
    <mergeCell ref="BS5:BS6"/>
    <mergeCell ref="L5:L6"/>
    <mergeCell ref="K5:K6"/>
    <mergeCell ref="J5:J6"/>
    <mergeCell ref="I5:I6"/>
    <mergeCell ref="H5:H6"/>
    <mergeCell ref="G5:G6"/>
    <mergeCell ref="F5:F6"/>
    <mergeCell ref="E5:E6"/>
    <mergeCell ref="D5:D6"/>
    <mergeCell ref="BN5:BO5"/>
    <mergeCell ref="Q5:T5"/>
    <mergeCell ref="X5:AI5"/>
    <mergeCell ref="W5:W6"/>
    <mergeCell ref="V5:V6"/>
    <mergeCell ref="U5:U6"/>
    <mergeCell ref="P5:P6"/>
    <mergeCell ref="O5:O6"/>
    <mergeCell ref="N5:N6"/>
    <mergeCell ref="M5:M6"/>
    <mergeCell ref="AJ5:AN5"/>
    <mergeCell ref="AO5:AT5"/>
    <mergeCell ref="AU5:AZ5"/>
    <mergeCell ref="BA5:BB5"/>
    <mergeCell ref="BC5:BM5"/>
    <mergeCell ref="BP5:BR5"/>
    <mergeCell ref="BT5:BU5"/>
    <mergeCell ref="CJ5:CJ6"/>
    <mergeCell ref="CK5:CK6"/>
    <mergeCell ref="CL5:CL6"/>
    <mergeCell ref="BY5:CE5"/>
    <mergeCell ref="CF5:CI5"/>
    <mergeCell ref="CM5:CM6"/>
    <mergeCell ref="DZ5:DZ6"/>
    <mergeCell ref="DP5:DP6"/>
    <mergeCell ref="DO5:DO6"/>
    <mergeCell ref="DQ5:DY5"/>
    <mergeCell ref="CO5:CS5"/>
    <mergeCell ref="CT5:CY5"/>
    <mergeCell ref="CZ5:DA5"/>
    <mergeCell ref="DB5:DC5"/>
    <mergeCell ref="DD5:DN5"/>
    <mergeCell ref="EE5:EE6"/>
    <mergeCell ref="ED5:ED6"/>
    <mergeCell ref="EC5:EC6"/>
    <mergeCell ref="EB5:EB6"/>
    <mergeCell ref="EA5:EA6"/>
  </mergeCells>
  <pageMargins left="0.27559055118110237" right="0.15748031496062992" top="0.35433070866141736" bottom="0.55118110236220474" header="0.31496062992125984" footer="0.31496062992125984"/>
  <pageSetup paperSize="8" scale="10" fitToHeight="0" orientation="landscape"/>
  <headerFooter>
    <oddFooter>&amp;L&amp;D&amp;T&amp;RTrang &amp;P/&amp;N</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92E5-BE86-4B1C-8894-9FA8CC004716}">
  <dimension ref="A1:U123"/>
  <sheetViews>
    <sheetView view="pageBreakPreview" zoomScaleNormal="100" zoomScaleSheetLayoutView="100" workbookViewId="0">
      <pane xSplit="1" ySplit="2" topLeftCell="B101" activePane="bottomRight" state="frozen"/>
      <selection pane="topRight" activeCell="B1" sqref="B1"/>
      <selection pane="bottomLeft" activeCell="A3" sqref="A3"/>
      <selection pane="bottomRight"/>
    </sheetView>
  </sheetViews>
  <sheetFormatPr baseColWidth="10" defaultColWidth="9.1640625" defaultRowHeight="16"/>
  <cols>
    <col min="1" max="1" width="101.5" style="282" customWidth="1"/>
    <col min="2" max="2" width="8.33203125" style="282" customWidth="1"/>
    <col min="3" max="3" width="2.33203125" style="282" customWidth="1"/>
    <col min="4" max="4" width="15.5" style="282" customWidth="1"/>
    <col min="5" max="5" width="3" style="282" customWidth="1"/>
    <col min="6" max="6" width="28.33203125" style="282" bestFit="1" customWidth="1"/>
    <col min="7" max="7" width="25.5" style="282" customWidth="1"/>
    <col min="8" max="8" width="4.83203125" style="282" customWidth="1"/>
    <col min="9" max="9" width="14.1640625" style="282" customWidth="1"/>
    <col min="10" max="10" width="9.1640625" style="282" customWidth="1"/>
    <col min="11" max="11" width="13.1640625" style="282" customWidth="1"/>
    <col min="12" max="12" width="18" style="282" customWidth="1"/>
    <col min="13" max="16384" width="9.1640625" style="282"/>
  </cols>
  <sheetData>
    <row r="1" spans="1:21" ht="31.5" customHeight="1">
      <c r="A1" s="596" t="str">
        <f>"PHIẾU LƯƠNG THÁNG "&amp;TEXT(J1,"MM/yyyy")&amp;" / "&amp;"PAYSLIP "&amp;TEXT(J1,"MM/yyyy")</f>
        <v>PHIẾU LƯƠNG THÁNG 05/2026 / PAYSLIP 05/2026</v>
      </c>
      <c r="B1" s="597"/>
      <c r="C1" s="597"/>
      <c r="D1" s="597"/>
      <c r="E1" s="597"/>
      <c r="F1" s="597"/>
      <c r="G1" s="597"/>
      <c r="H1" s="597"/>
      <c r="I1" s="598"/>
      <c r="J1" s="280">
        <v>46143</v>
      </c>
      <c r="K1" s="281">
        <f>DATE(YEAR(J1),MONTH(J1)-1,21)</f>
        <v>46133</v>
      </c>
      <c r="L1" s="281">
        <f>DATE(YEAR(J1),MONTH(J1),20)</f>
        <v>46162</v>
      </c>
    </row>
    <row r="2" spans="1:21">
      <c r="A2" s="599" t="str">
        <f>"(Từ ngày "&amp;TEXT(K1,"dd/MM/yyyy")&amp;" đến ngày "&amp;TEXT(L1,"dd/MM/yyyy")&amp;")"&amp;" / "&amp;"(From "&amp;TEXT(K1,"dd/MM/yyyy")&amp;" to "&amp;TEXT(L1,"dd/MM/yyyy")&amp;")"</f>
        <v>(Từ ngày 21/04/2026 đến ngày 20/05/2026) / (From 21/04/2026 to 20/05/2026)</v>
      </c>
      <c r="B2" s="600"/>
      <c r="C2" s="600"/>
      <c r="D2" s="600"/>
      <c r="E2" s="600"/>
      <c r="F2" s="600"/>
      <c r="G2" s="600"/>
      <c r="H2" s="600"/>
      <c r="I2" s="601"/>
      <c r="J2" s="282" t="s">
        <v>936</v>
      </c>
    </row>
    <row r="3" spans="1:21">
      <c r="A3" s="283" t="s">
        <v>937</v>
      </c>
      <c r="B3" s="284"/>
      <c r="C3" s="284"/>
      <c r="D3" s="284"/>
      <c r="E3" s="284"/>
      <c r="F3" s="284"/>
      <c r="G3" s="284"/>
      <c r="H3" s="284"/>
      <c r="I3" s="285"/>
      <c r="J3" s="286"/>
    </row>
    <row r="4" spans="1:21" ht="4.5" customHeight="1">
      <c r="A4" s="287"/>
      <c r="B4" s="288"/>
      <c r="C4" s="288"/>
      <c r="D4" s="288"/>
      <c r="E4" s="288"/>
      <c r="F4" s="288"/>
      <c r="G4" s="288"/>
      <c r="H4" s="288"/>
      <c r="I4" s="289"/>
      <c r="J4" s="286"/>
    </row>
    <row r="5" spans="1:21" ht="20.25" customHeight="1">
      <c r="A5" s="290" t="s">
        <v>938</v>
      </c>
      <c r="B5" s="291" t="s">
        <v>939</v>
      </c>
      <c r="C5" s="292"/>
      <c r="D5" s="292"/>
      <c r="E5" s="292"/>
      <c r="F5" s="293" t="s">
        <v>940</v>
      </c>
      <c r="G5" s="602" t="s">
        <v>941</v>
      </c>
      <c r="H5" s="602"/>
      <c r="I5" s="294"/>
      <c r="J5" s="286"/>
    </row>
    <row r="6" spans="1:21" ht="20.25" customHeight="1">
      <c r="A6" s="290" t="s">
        <v>942</v>
      </c>
      <c r="B6" s="295" t="s">
        <v>943</v>
      </c>
      <c r="C6" s="292"/>
      <c r="D6" s="292"/>
      <c r="E6" s="292"/>
      <c r="F6" s="293" t="s">
        <v>944</v>
      </c>
      <c r="G6" s="602" t="s">
        <v>945</v>
      </c>
      <c r="H6" s="602"/>
      <c r="I6" s="296"/>
      <c r="J6" s="286" t="s">
        <v>946</v>
      </c>
      <c r="K6" s="297"/>
    </row>
    <row r="7" spans="1:21" ht="20.25" customHeight="1">
      <c r="A7" s="298" t="s">
        <v>947</v>
      </c>
      <c r="B7" s="603" t="s">
        <v>948</v>
      </c>
      <c r="C7" s="604"/>
      <c r="D7" s="604"/>
      <c r="E7" s="604"/>
      <c r="F7" s="604"/>
      <c r="G7" s="604"/>
      <c r="H7" s="604"/>
      <c r="I7" s="605"/>
      <c r="J7" s="286"/>
    </row>
    <row r="8" spans="1:21" s="308" customFormat="1" ht="20.25" customHeight="1">
      <c r="A8" s="300" t="s">
        <v>949</v>
      </c>
      <c r="B8" s="301" t="s">
        <v>950</v>
      </c>
      <c r="C8" s="302"/>
      <c r="D8" s="302"/>
      <c r="E8" s="302"/>
      <c r="F8" s="303"/>
      <c r="G8" s="304"/>
      <c r="H8" s="305"/>
      <c r="I8" s="306"/>
      <c r="J8" s="307"/>
    </row>
    <row r="9" spans="1:21" ht="20.25" customHeight="1">
      <c r="A9" s="309" t="s">
        <v>951</v>
      </c>
      <c r="B9" s="310">
        <v>0</v>
      </c>
      <c r="C9" s="311" t="s">
        <v>952</v>
      </c>
      <c r="D9" s="292"/>
      <c r="E9" s="292"/>
      <c r="F9" s="292"/>
      <c r="G9" s="292"/>
      <c r="H9" s="292"/>
      <c r="I9" s="294"/>
      <c r="J9" s="286"/>
    </row>
    <row r="10" spans="1:21" ht="9" customHeight="1">
      <c r="A10" s="312"/>
      <c r="B10" s="313"/>
      <c r="C10" s="313"/>
      <c r="D10" s="313"/>
      <c r="E10" s="313"/>
      <c r="F10" s="313"/>
      <c r="G10" s="313"/>
      <c r="H10" s="313"/>
      <c r="I10" s="314"/>
      <c r="J10" s="286"/>
    </row>
    <row r="11" spans="1:21">
      <c r="A11" s="315" t="s">
        <v>953</v>
      </c>
      <c r="B11" s="316"/>
      <c r="C11" s="316"/>
      <c r="D11" s="316"/>
      <c r="E11" s="316"/>
      <c r="F11" s="316"/>
      <c r="G11" s="316"/>
      <c r="H11" s="316"/>
      <c r="I11" s="317"/>
      <c r="J11" s="286"/>
    </row>
    <row r="12" spans="1:21" ht="20.25" customHeight="1">
      <c r="A12" s="290" t="s">
        <v>954</v>
      </c>
      <c r="B12" s="292" t="s">
        <v>955</v>
      </c>
      <c r="C12" s="292"/>
      <c r="D12" s="292"/>
      <c r="E12" s="292"/>
      <c r="F12" s="292"/>
      <c r="G12" s="318">
        <v>26</v>
      </c>
      <c r="H12" s="319"/>
      <c r="I12" s="294" t="s">
        <v>956</v>
      </c>
      <c r="J12" s="286"/>
    </row>
    <row r="13" spans="1:21" ht="20.25" customHeight="1">
      <c r="A13" s="290" t="s">
        <v>957</v>
      </c>
      <c r="B13" s="292" t="s">
        <v>958</v>
      </c>
      <c r="C13" s="292"/>
      <c r="D13" s="319"/>
      <c r="E13" s="319"/>
      <c r="F13" s="319"/>
      <c r="G13" s="320">
        <v>26</v>
      </c>
      <c r="H13" s="319"/>
      <c r="I13" s="294" t="s">
        <v>956</v>
      </c>
      <c r="J13" s="286"/>
      <c r="L13" s="297"/>
      <c r="M13" s="321"/>
      <c r="N13" s="297"/>
      <c r="Q13" s="322"/>
      <c r="R13" s="297"/>
      <c r="S13" s="297"/>
      <c r="T13" s="321"/>
      <c r="U13" s="321"/>
    </row>
    <row r="14" spans="1:21" ht="20.25" customHeight="1">
      <c r="A14" s="290" t="s">
        <v>959</v>
      </c>
      <c r="B14" s="292" t="s">
        <v>960</v>
      </c>
      <c r="C14" s="292"/>
      <c r="D14" s="319"/>
      <c r="E14" s="319"/>
      <c r="F14" s="319"/>
      <c r="G14" s="320">
        <v>0</v>
      </c>
      <c r="H14" s="319"/>
      <c r="I14" s="294" t="s">
        <v>956</v>
      </c>
      <c r="J14" s="286"/>
      <c r="L14" s="297"/>
      <c r="M14" s="321"/>
      <c r="N14" s="297"/>
      <c r="Q14" s="322"/>
      <c r="R14" s="297"/>
      <c r="S14" s="297"/>
      <c r="T14" s="321"/>
      <c r="U14" s="321"/>
    </row>
    <row r="15" spans="1:21" ht="20.25" customHeight="1">
      <c r="A15" s="290" t="s">
        <v>961</v>
      </c>
      <c r="B15" s="292" t="s">
        <v>962</v>
      </c>
      <c r="C15" s="292"/>
      <c r="D15" s="319"/>
      <c r="E15" s="319"/>
      <c r="F15" s="319"/>
      <c r="G15" s="320">
        <v>0</v>
      </c>
      <c r="H15" s="319"/>
      <c r="I15" s="294" t="s">
        <v>956</v>
      </c>
      <c r="J15" s="286"/>
      <c r="L15" s="297"/>
      <c r="M15" s="321"/>
      <c r="N15" s="297"/>
      <c r="Q15" s="297"/>
      <c r="R15" s="297"/>
      <c r="S15" s="297"/>
      <c r="U15" s="321"/>
    </row>
    <row r="16" spans="1:21" ht="20.25" customHeight="1">
      <c r="A16" s="290" t="s">
        <v>963</v>
      </c>
      <c r="B16" s="292" t="s">
        <v>964</v>
      </c>
      <c r="C16" s="292"/>
      <c r="D16" s="319"/>
      <c r="E16" s="319"/>
      <c r="F16" s="319"/>
      <c r="G16" s="320">
        <v>0</v>
      </c>
      <c r="H16" s="319"/>
      <c r="I16" s="294" t="s">
        <v>956</v>
      </c>
      <c r="J16" s="286"/>
      <c r="L16" s="297"/>
      <c r="M16" s="321"/>
      <c r="N16" s="297"/>
      <c r="Q16" s="297"/>
      <c r="R16" s="297"/>
      <c r="S16" s="297"/>
      <c r="U16" s="321"/>
    </row>
    <row r="17" spans="1:21" ht="20.25" customHeight="1">
      <c r="A17" s="290" t="s">
        <v>965</v>
      </c>
      <c r="B17" s="292" t="s">
        <v>966</v>
      </c>
      <c r="C17" s="292"/>
      <c r="D17" s="319"/>
      <c r="E17" s="319"/>
      <c r="F17" s="319"/>
      <c r="G17" s="320">
        <v>0</v>
      </c>
      <c r="H17" s="319"/>
      <c r="I17" s="294" t="s">
        <v>956</v>
      </c>
      <c r="J17" s="286"/>
      <c r="L17" s="297"/>
      <c r="M17" s="321"/>
      <c r="N17" s="297"/>
      <c r="Q17" s="297"/>
      <c r="R17" s="297"/>
      <c r="S17" s="297"/>
      <c r="U17" s="321"/>
    </row>
    <row r="18" spans="1:21" ht="20.25" customHeight="1">
      <c r="A18" s="290" t="s">
        <v>967</v>
      </c>
      <c r="B18" s="292" t="s">
        <v>968</v>
      </c>
      <c r="C18" s="292"/>
      <c r="D18" s="319"/>
      <c r="E18" s="319"/>
      <c r="F18" s="319"/>
      <c r="G18" s="320">
        <v>0</v>
      </c>
      <c r="H18" s="292"/>
      <c r="I18" s="294" t="s">
        <v>956</v>
      </c>
      <c r="J18" s="286"/>
      <c r="Q18" s="297"/>
      <c r="R18" s="297"/>
      <c r="S18" s="297"/>
      <c r="U18" s="321"/>
    </row>
    <row r="19" spans="1:21" s="327" customFormat="1" ht="20.25" customHeight="1">
      <c r="A19" s="323" t="s">
        <v>969</v>
      </c>
      <c r="B19" s="324" t="s">
        <v>970</v>
      </c>
      <c r="C19" s="324"/>
      <c r="D19" s="325"/>
      <c r="E19" s="325"/>
      <c r="F19" s="325"/>
      <c r="G19" s="320">
        <v>0</v>
      </c>
      <c r="H19" s="292"/>
      <c r="I19" s="294" t="s">
        <v>956</v>
      </c>
      <c r="J19" s="326" t="s">
        <v>971</v>
      </c>
      <c r="R19" s="328"/>
      <c r="S19" s="328"/>
      <c r="U19" s="329"/>
    </row>
    <row r="20" spans="1:21" ht="20.25" customHeight="1">
      <c r="A20" s="290" t="s">
        <v>972</v>
      </c>
      <c r="B20" s="292" t="s">
        <v>973</v>
      </c>
      <c r="C20" s="292"/>
      <c r="D20" s="319"/>
      <c r="E20" s="319"/>
      <c r="F20" s="319"/>
      <c r="G20" s="320">
        <v>0</v>
      </c>
      <c r="H20" s="292"/>
      <c r="I20" s="294" t="s">
        <v>956</v>
      </c>
      <c r="J20" s="286"/>
      <c r="Q20" s="322"/>
      <c r="R20" s="297"/>
      <c r="S20" s="297"/>
      <c r="U20" s="321"/>
    </row>
    <row r="21" spans="1:21" ht="20.25" customHeight="1">
      <c r="A21" s="290" t="s">
        <v>974</v>
      </c>
      <c r="B21" s="292" t="s">
        <v>975</v>
      </c>
      <c r="C21" s="292"/>
      <c r="D21" s="319"/>
      <c r="E21" s="319"/>
      <c r="F21" s="319"/>
      <c r="G21" s="320">
        <v>0</v>
      </c>
      <c r="H21" s="292"/>
      <c r="I21" s="294" t="s">
        <v>956</v>
      </c>
      <c r="J21" s="286"/>
      <c r="R21" s="297"/>
      <c r="S21" s="297"/>
      <c r="U21" s="321"/>
    </row>
    <row r="22" spans="1:21" ht="20.25" customHeight="1">
      <c r="A22" s="290" t="s">
        <v>976</v>
      </c>
      <c r="B22" s="292"/>
      <c r="C22" s="292"/>
      <c r="D22" s="319"/>
      <c r="E22" s="319"/>
      <c r="F22" s="319"/>
      <c r="G22" s="320">
        <v>0</v>
      </c>
      <c r="H22" s="292"/>
      <c r="I22" s="294" t="s">
        <v>956</v>
      </c>
      <c r="J22" s="286"/>
      <c r="R22" s="297"/>
      <c r="S22" s="297"/>
      <c r="U22" s="321"/>
    </row>
    <row r="23" spans="1:21" ht="20.25" customHeight="1">
      <c r="A23" s="290" t="s">
        <v>977</v>
      </c>
      <c r="B23" s="292"/>
      <c r="C23" s="292"/>
      <c r="D23" s="319"/>
      <c r="E23" s="319"/>
      <c r="F23" s="319"/>
      <c r="G23" s="320">
        <v>0</v>
      </c>
      <c r="H23" s="292"/>
      <c r="I23" s="294" t="s">
        <v>956</v>
      </c>
      <c r="J23" s="286"/>
      <c r="R23" s="297"/>
      <c r="S23" s="297"/>
      <c r="U23" s="321"/>
    </row>
    <row r="24" spans="1:21" ht="20.25" customHeight="1">
      <c r="A24" s="330" t="s">
        <v>978</v>
      </c>
      <c r="B24" s="331" t="s">
        <v>979</v>
      </c>
      <c r="C24" s="332"/>
      <c r="D24" s="333"/>
      <c r="E24" s="333"/>
      <c r="F24" s="333"/>
      <c r="G24" s="334">
        <f>G13+G14+G15+G16+G17+G19+G18</f>
        <v>26</v>
      </c>
      <c r="H24" s="331"/>
      <c r="I24" s="335" t="s">
        <v>956</v>
      </c>
      <c r="J24" s="286"/>
      <c r="R24" s="297"/>
      <c r="S24" s="297"/>
      <c r="U24" s="321"/>
    </row>
    <row r="25" spans="1:21" ht="10.5" hidden="1" customHeight="1">
      <c r="A25" s="290"/>
      <c r="B25" s="292"/>
      <c r="C25" s="292"/>
      <c r="D25" s="319"/>
      <c r="E25" s="319"/>
      <c r="F25" s="319"/>
      <c r="G25" s="320"/>
      <c r="H25" s="319"/>
      <c r="I25" s="294"/>
      <c r="J25" s="286"/>
      <c r="R25" s="297"/>
      <c r="S25" s="297"/>
      <c r="U25" s="321"/>
    </row>
    <row r="26" spans="1:21" ht="3.75" customHeight="1">
      <c r="A26" s="286"/>
      <c r="E26" s="297"/>
      <c r="F26" s="297"/>
      <c r="I26" s="336"/>
      <c r="J26" s="286"/>
      <c r="R26" s="297"/>
      <c r="S26" s="297"/>
      <c r="U26" s="321"/>
    </row>
    <row r="27" spans="1:21">
      <c r="A27" s="315" t="s">
        <v>980</v>
      </c>
      <c r="B27" s="316"/>
      <c r="C27" s="316"/>
      <c r="D27" s="316"/>
      <c r="E27" s="316"/>
      <c r="F27" s="316"/>
      <c r="G27" s="316"/>
      <c r="H27" s="316"/>
      <c r="I27" s="317"/>
      <c r="J27" s="286"/>
    </row>
    <row r="28" spans="1:21" ht="21.75" customHeight="1">
      <c r="A28" s="337" t="s">
        <v>981</v>
      </c>
      <c r="B28" s="292"/>
      <c r="C28" s="292"/>
      <c r="D28" s="320"/>
      <c r="E28" s="292"/>
      <c r="F28" s="292"/>
      <c r="G28" s="338">
        <v>20000000</v>
      </c>
      <c r="H28" s="292"/>
      <c r="I28" s="294" t="s">
        <v>861</v>
      </c>
      <c r="J28" s="286"/>
    </row>
    <row r="29" spans="1:21" ht="21.75" customHeight="1">
      <c r="A29" s="337" t="s">
        <v>982</v>
      </c>
      <c r="B29" s="292"/>
      <c r="C29" s="292"/>
      <c r="D29" s="320"/>
      <c r="E29" s="292"/>
      <c r="F29" s="292"/>
      <c r="G29" s="339">
        <v>20000000</v>
      </c>
      <c r="H29" s="292"/>
      <c r="I29" s="294" t="s">
        <v>861</v>
      </c>
      <c r="J29" s="286"/>
    </row>
    <row r="30" spans="1:21" ht="21.75" customHeight="1">
      <c r="A30" s="340" t="s">
        <v>983</v>
      </c>
      <c r="B30" s="292"/>
      <c r="C30" s="292"/>
      <c r="D30" s="320"/>
      <c r="E30" s="292"/>
      <c r="F30" s="292"/>
      <c r="G30" s="339">
        <f>ROUND(G29/G12,0)</f>
        <v>769231</v>
      </c>
      <c r="H30" s="292"/>
      <c r="I30" s="294" t="s">
        <v>861</v>
      </c>
      <c r="J30" s="286" t="s">
        <v>984</v>
      </c>
    </row>
    <row r="31" spans="1:21" ht="21.75" customHeight="1">
      <c r="A31" s="300" t="s">
        <v>985</v>
      </c>
      <c r="B31" s="341"/>
      <c r="C31" s="342"/>
      <c r="D31" s="343"/>
      <c r="E31" s="302"/>
      <c r="F31" s="302"/>
      <c r="G31" s="344">
        <v>0</v>
      </c>
      <c r="H31" s="342"/>
      <c r="I31" s="345" t="s">
        <v>861</v>
      </c>
      <c r="J31" s="286"/>
    </row>
    <row r="32" spans="1:21" ht="21.75" customHeight="1">
      <c r="A32" s="330" t="s">
        <v>986</v>
      </c>
      <c r="B32" s="346" t="s">
        <v>987</v>
      </c>
      <c r="C32" s="331"/>
      <c r="D32" s="334"/>
      <c r="E32" s="331"/>
      <c r="F32" s="331"/>
      <c r="G32" s="347">
        <v>20000000</v>
      </c>
      <c r="H32" s="331"/>
      <c r="I32" s="335" t="s">
        <v>861</v>
      </c>
      <c r="J32" s="286"/>
    </row>
    <row r="33" spans="1:10" ht="7.5" customHeight="1">
      <c r="A33" s="312"/>
      <c r="B33" s="313"/>
      <c r="C33" s="313"/>
      <c r="D33" s="348"/>
      <c r="E33" s="313"/>
      <c r="F33" s="313"/>
      <c r="G33" s="313"/>
      <c r="H33" s="313"/>
      <c r="I33" s="314"/>
      <c r="J33" s="286"/>
    </row>
    <row r="34" spans="1:10" s="354" customFormat="1" ht="50.25" customHeight="1">
      <c r="A34" s="349" t="s">
        <v>988</v>
      </c>
      <c r="B34" s="350"/>
      <c r="C34" s="350"/>
      <c r="D34" s="595" t="s">
        <v>989</v>
      </c>
      <c r="E34" s="595"/>
      <c r="F34" s="351"/>
      <c r="G34" s="595" t="s">
        <v>990</v>
      </c>
      <c r="H34" s="595"/>
      <c r="I34" s="352"/>
      <c r="J34" s="353"/>
    </row>
    <row r="35" spans="1:10" ht="21" customHeight="1">
      <c r="A35" s="290" t="s">
        <v>991</v>
      </c>
      <c r="B35" s="292" t="s">
        <v>992</v>
      </c>
      <c r="C35" s="292"/>
      <c r="D35" s="339">
        <v>730000</v>
      </c>
      <c r="E35" s="292"/>
      <c r="F35" s="295" t="s">
        <v>861</v>
      </c>
      <c r="G35" s="339">
        <v>2780000</v>
      </c>
      <c r="H35" s="292"/>
      <c r="I35" s="294" t="s">
        <v>861</v>
      </c>
      <c r="J35" s="286"/>
    </row>
    <row r="36" spans="1:10" ht="21" customHeight="1">
      <c r="A36" s="290" t="s">
        <v>993</v>
      </c>
      <c r="B36" s="319" t="s">
        <v>994</v>
      </c>
      <c r="C36" s="292"/>
      <c r="D36" s="339">
        <v>800000</v>
      </c>
      <c r="E36" s="292"/>
      <c r="F36" s="295" t="s">
        <v>861</v>
      </c>
      <c r="G36" s="339">
        <v>0</v>
      </c>
      <c r="H36" s="292"/>
      <c r="I36" s="294" t="s">
        <v>861</v>
      </c>
      <c r="J36" s="286"/>
    </row>
    <row r="37" spans="1:10" ht="21" customHeight="1">
      <c r="A37" s="290" t="s">
        <v>995</v>
      </c>
      <c r="B37" s="319" t="s">
        <v>996</v>
      </c>
      <c r="C37" s="319"/>
      <c r="D37" s="339">
        <v>0</v>
      </c>
      <c r="E37" s="292"/>
      <c r="F37" s="295" t="s">
        <v>861</v>
      </c>
      <c r="G37" s="339">
        <v>0</v>
      </c>
      <c r="H37" s="292"/>
      <c r="I37" s="294" t="s">
        <v>861</v>
      </c>
      <c r="J37" s="286"/>
    </row>
    <row r="38" spans="1:10" ht="21" customHeight="1">
      <c r="A38" s="290" t="s">
        <v>997</v>
      </c>
      <c r="B38" s="319" t="s">
        <v>998</v>
      </c>
      <c r="C38" s="319"/>
      <c r="D38" s="339">
        <v>0</v>
      </c>
      <c r="E38" s="292"/>
      <c r="F38" s="295" t="s">
        <v>861</v>
      </c>
      <c r="G38" s="339">
        <v>0</v>
      </c>
      <c r="H38" s="292"/>
      <c r="I38" s="294" t="s">
        <v>861</v>
      </c>
      <c r="J38" s="286"/>
    </row>
    <row r="39" spans="1:10" ht="21" customHeight="1">
      <c r="A39" s="355" t="s">
        <v>999</v>
      </c>
      <c r="B39" s="319" t="s">
        <v>1000</v>
      </c>
      <c r="C39" s="319"/>
      <c r="D39" s="339">
        <v>0</v>
      </c>
      <c r="E39" s="292"/>
      <c r="F39" s="295" t="s">
        <v>861</v>
      </c>
      <c r="G39" s="339">
        <v>0</v>
      </c>
      <c r="H39" s="292"/>
      <c r="I39" s="294" t="s">
        <v>861</v>
      </c>
      <c r="J39" s="286"/>
    </row>
    <row r="40" spans="1:10" ht="21" customHeight="1">
      <c r="A40" s="290" t="s">
        <v>1001</v>
      </c>
      <c r="B40" s="319" t="s">
        <v>1002</v>
      </c>
      <c r="C40" s="319"/>
      <c r="D40" s="339">
        <v>0</v>
      </c>
      <c r="E40" s="292"/>
      <c r="F40" s="295" t="s">
        <v>861</v>
      </c>
      <c r="G40" s="339">
        <v>0</v>
      </c>
      <c r="H40" s="292"/>
      <c r="I40" s="294" t="s">
        <v>861</v>
      </c>
      <c r="J40" s="286"/>
    </row>
    <row r="41" spans="1:10" ht="21" customHeight="1">
      <c r="A41" s="330" t="s">
        <v>1003</v>
      </c>
      <c r="B41" s="356" t="s">
        <v>1004</v>
      </c>
      <c r="C41" s="333"/>
      <c r="D41" s="347">
        <f>SUM(D35:D40)</f>
        <v>1530000</v>
      </c>
      <c r="E41" s="331"/>
      <c r="F41" s="291" t="s">
        <v>861</v>
      </c>
      <c r="G41" s="347">
        <f>SUM(G35:G40)</f>
        <v>2780000</v>
      </c>
      <c r="H41" s="331"/>
      <c r="I41" s="335" t="s">
        <v>861</v>
      </c>
      <c r="J41" s="286"/>
    </row>
    <row r="42" spans="1:10" ht="4.5" customHeight="1">
      <c r="A42" s="286"/>
      <c r="E42" s="357"/>
      <c r="F42" s="357"/>
      <c r="G42" s="357"/>
      <c r="H42" s="357"/>
      <c r="I42" s="358"/>
      <c r="J42" s="286"/>
    </row>
    <row r="43" spans="1:10" ht="6.75" customHeight="1">
      <c r="A43" s="359"/>
      <c r="B43" s="360"/>
      <c r="C43" s="360"/>
      <c r="D43" s="360"/>
      <c r="E43" s="360"/>
      <c r="F43" s="360"/>
      <c r="G43" s="360"/>
      <c r="H43" s="360"/>
      <c r="I43" s="361"/>
      <c r="J43" s="286"/>
    </row>
    <row r="44" spans="1:10" ht="46.25" customHeight="1">
      <c r="A44" s="362" t="s">
        <v>1005</v>
      </c>
      <c r="B44" s="363" t="s">
        <v>1006</v>
      </c>
      <c r="C44" s="363"/>
      <c r="D44" s="611" t="s">
        <v>1007</v>
      </c>
      <c r="E44" s="611"/>
      <c r="F44" s="364"/>
      <c r="G44" s="611" t="s">
        <v>1008</v>
      </c>
      <c r="H44" s="611"/>
      <c r="I44" s="365"/>
      <c r="J44" s="286"/>
    </row>
    <row r="45" spans="1:10" ht="20.25" customHeight="1">
      <c r="A45" s="337" t="s">
        <v>1009</v>
      </c>
      <c r="B45" s="366">
        <v>0</v>
      </c>
      <c r="C45" s="366"/>
      <c r="D45" s="339">
        <v>0</v>
      </c>
      <c r="E45" s="319"/>
      <c r="F45" s="295" t="s">
        <v>861</v>
      </c>
      <c r="G45" s="339">
        <v>0</v>
      </c>
      <c r="H45" s="292"/>
      <c r="I45" s="299" t="s">
        <v>861</v>
      </c>
      <c r="J45" s="286"/>
    </row>
    <row r="46" spans="1:10" ht="20.25" customHeight="1">
      <c r="A46" s="337" t="s">
        <v>1010</v>
      </c>
      <c r="B46" s="366">
        <v>0</v>
      </c>
      <c r="C46" s="366"/>
      <c r="D46" s="339">
        <v>0</v>
      </c>
      <c r="E46" s="319"/>
      <c r="F46" s="295" t="s">
        <v>861</v>
      </c>
      <c r="G46" s="339">
        <v>0</v>
      </c>
      <c r="H46" s="292"/>
      <c r="I46" s="299" t="s">
        <v>861</v>
      </c>
      <c r="J46" s="286"/>
    </row>
    <row r="47" spans="1:10" ht="20.25" customHeight="1">
      <c r="A47" s="337" t="s">
        <v>1011</v>
      </c>
      <c r="B47" s="366">
        <v>0</v>
      </c>
      <c r="C47" s="366"/>
      <c r="D47" s="339">
        <v>0</v>
      </c>
      <c r="E47" s="292"/>
      <c r="F47" s="295" t="s">
        <v>861</v>
      </c>
      <c r="G47" s="339">
        <v>0</v>
      </c>
      <c r="H47" s="292"/>
      <c r="I47" s="299" t="s">
        <v>861</v>
      </c>
      <c r="J47" s="286"/>
    </row>
    <row r="48" spans="1:10" ht="20.25" customHeight="1">
      <c r="A48" s="337" t="s">
        <v>1012</v>
      </c>
      <c r="B48" s="366">
        <v>0</v>
      </c>
      <c r="C48" s="366"/>
      <c r="D48" s="339">
        <v>0</v>
      </c>
      <c r="E48" s="292"/>
      <c r="F48" s="295" t="s">
        <v>861</v>
      </c>
      <c r="G48" s="339">
        <v>0</v>
      </c>
      <c r="H48" s="292"/>
      <c r="I48" s="299" t="s">
        <v>861</v>
      </c>
      <c r="J48" s="286"/>
    </row>
    <row r="49" spans="1:10" ht="20.25" customHeight="1">
      <c r="A49" s="337" t="s">
        <v>1013</v>
      </c>
      <c r="B49" s="366">
        <v>0</v>
      </c>
      <c r="C49" s="366"/>
      <c r="D49" s="339">
        <v>0</v>
      </c>
      <c r="E49" s="292"/>
      <c r="F49" s="295" t="s">
        <v>861</v>
      </c>
      <c r="G49" s="339">
        <v>0</v>
      </c>
      <c r="H49" s="292"/>
      <c r="I49" s="299" t="s">
        <v>861</v>
      </c>
      <c r="J49" s="286"/>
    </row>
    <row r="50" spans="1:10" ht="20.25" customHeight="1">
      <c r="A50" s="337" t="s">
        <v>1014</v>
      </c>
      <c r="B50" s="366">
        <v>0</v>
      </c>
      <c r="C50" s="366"/>
      <c r="D50" s="339">
        <v>0</v>
      </c>
      <c r="E50" s="292"/>
      <c r="F50" s="295" t="s">
        <v>861</v>
      </c>
      <c r="G50" s="339">
        <v>0</v>
      </c>
      <c r="H50" s="292"/>
      <c r="I50" s="299" t="s">
        <v>861</v>
      </c>
      <c r="J50" s="286"/>
    </row>
    <row r="51" spans="1:10" ht="20.25" customHeight="1">
      <c r="A51" s="367" t="s">
        <v>1015</v>
      </c>
      <c r="B51" s="368"/>
      <c r="C51" s="368"/>
      <c r="D51" s="347">
        <f>SUM(D45:D50)</f>
        <v>0</v>
      </c>
      <c r="E51" s="331"/>
      <c r="F51" s="291" t="s">
        <v>861</v>
      </c>
      <c r="G51" s="347">
        <f>SUM(G45:G50)</f>
        <v>0</v>
      </c>
      <c r="H51" s="331"/>
      <c r="I51" s="369" t="s">
        <v>861</v>
      </c>
      <c r="J51" s="286"/>
    </row>
    <row r="52" spans="1:10" ht="18" hidden="1" customHeight="1">
      <c r="A52" s="362"/>
      <c r="B52" s="363"/>
      <c r="C52" s="363"/>
      <c r="D52" s="612"/>
      <c r="E52" s="612"/>
      <c r="F52" s="364"/>
      <c r="G52" s="612"/>
      <c r="H52" s="612"/>
      <c r="I52" s="365"/>
      <c r="J52" s="286"/>
    </row>
    <row r="53" spans="1:10" ht="5.25" customHeight="1">
      <c r="A53" s="370"/>
      <c r="B53" s="357"/>
      <c r="C53" s="357"/>
      <c r="D53" s="357"/>
      <c r="E53" s="357"/>
      <c r="F53" s="357"/>
      <c r="G53" s="371"/>
      <c r="H53" s="357"/>
      <c r="I53" s="358"/>
      <c r="J53" s="286"/>
    </row>
    <row r="54" spans="1:10" ht="21" customHeight="1">
      <c r="A54" s="330" t="s">
        <v>1016</v>
      </c>
      <c r="B54" s="292"/>
      <c r="C54" s="292"/>
      <c r="D54" s="292"/>
      <c r="E54" s="292"/>
      <c r="F54" s="292"/>
      <c r="G54" s="292"/>
      <c r="H54" s="292"/>
      <c r="I54" s="294"/>
      <c r="J54" s="286"/>
    </row>
    <row r="55" spans="1:10" ht="21" customHeight="1">
      <c r="A55" s="290" t="s">
        <v>1017</v>
      </c>
      <c r="B55" s="372" t="s">
        <v>1018</v>
      </c>
      <c r="C55" s="292"/>
      <c r="D55" s="292"/>
      <c r="E55" s="292"/>
      <c r="F55" s="292"/>
      <c r="G55" s="339">
        <v>0</v>
      </c>
      <c r="H55" s="292"/>
      <c r="I55" s="299" t="s">
        <v>861</v>
      </c>
      <c r="J55" s="286"/>
    </row>
    <row r="56" spans="1:10" ht="21" customHeight="1">
      <c r="A56" s="290" t="s">
        <v>1019</v>
      </c>
      <c r="B56" s="373" t="s">
        <v>1020</v>
      </c>
      <c r="C56" s="292"/>
      <c r="D56" s="292"/>
      <c r="E56" s="292"/>
      <c r="F56" s="292"/>
      <c r="G56" s="339">
        <v>0</v>
      </c>
      <c r="H56" s="292"/>
      <c r="I56" s="299" t="s">
        <v>861</v>
      </c>
      <c r="J56" s="286"/>
    </row>
    <row r="57" spans="1:10" ht="21" customHeight="1">
      <c r="A57" s="290" t="s">
        <v>1021</v>
      </c>
      <c r="B57" s="374" t="s">
        <v>1022</v>
      </c>
      <c r="C57" s="292"/>
      <c r="D57" s="292"/>
      <c r="E57" s="292"/>
      <c r="F57" s="292"/>
      <c r="G57" s="339">
        <v>0</v>
      </c>
      <c r="H57" s="292"/>
      <c r="I57" s="299" t="s">
        <v>861</v>
      </c>
      <c r="J57" s="286"/>
    </row>
    <row r="58" spans="1:10" ht="21" customHeight="1">
      <c r="A58" s="290" t="s">
        <v>1023</v>
      </c>
      <c r="B58" s="375" t="s">
        <v>1024</v>
      </c>
      <c r="C58" s="292"/>
      <c r="D58" s="292"/>
      <c r="E58" s="292"/>
      <c r="F58" s="292"/>
      <c r="G58" s="339">
        <v>0</v>
      </c>
      <c r="H58" s="292"/>
      <c r="I58" s="299" t="s">
        <v>861</v>
      </c>
      <c r="J58" s="286"/>
    </row>
    <row r="59" spans="1:10" ht="21" customHeight="1">
      <c r="A59" s="290" t="s">
        <v>1025</v>
      </c>
      <c r="B59" s="375" t="s">
        <v>1026</v>
      </c>
      <c r="C59" s="292"/>
      <c r="D59" s="292"/>
      <c r="E59" s="292"/>
      <c r="F59" s="292"/>
      <c r="G59" s="339">
        <v>0</v>
      </c>
      <c r="H59" s="292"/>
      <c r="I59" s="299" t="s">
        <v>861</v>
      </c>
      <c r="J59" s="286"/>
    </row>
    <row r="60" spans="1:10" ht="21" customHeight="1">
      <c r="A60" s="290" t="s">
        <v>1027</v>
      </c>
      <c r="B60" s="375" t="s">
        <v>1028</v>
      </c>
      <c r="C60" s="292"/>
      <c r="D60" s="292"/>
      <c r="E60" s="292"/>
      <c r="F60" s="292"/>
      <c r="G60" s="376">
        <v>0</v>
      </c>
      <c r="H60" s="292"/>
      <c r="I60" s="299" t="s">
        <v>861</v>
      </c>
      <c r="J60" s="286"/>
    </row>
    <row r="61" spans="1:10" ht="21" customHeight="1">
      <c r="A61" s="377" t="s">
        <v>1029</v>
      </c>
      <c r="B61" s="378" t="s">
        <v>1030</v>
      </c>
      <c r="C61" s="379"/>
      <c r="D61" s="379"/>
      <c r="E61" s="379"/>
      <c r="F61" s="379"/>
      <c r="G61" s="380">
        <f>SUM(G55:G60)</f>
        <v>0</v>
      </c>
      <c r="H61" s="378"/>
      <c r="I61" s="381" t="s">
        <v>861</v>
      </c>
      <c r="J61" s="286"/>
    </row>
    <row r="62" spans="1:10" ht="21" customHeight="1">
      <c r="A62" s="330" t="s">
        <v>1031</v>
      </c>
      <c r="B62" s="292"/>
      <c r="C62" s="292"/>
      <c r="D62" s="292"/>
      <c r="E62" s="292"/>
      <c r="F62" s="292"/>
      <c r="G62" s="320"/>
      <c r="H62" s="292"/>
      <c r="I62" s="299"/>
      <c r="J62" s="286"/>
    </row>
    <row r="63" spans="1:10" ht="21" customHeight="1">
      <c r="A63" s="290" t="s">
        <v>1032</v>
      </c>
      <c r="B63" s="374" t="s">
        <v>1033</v>
      </c>
      <c r="C63" s="292"/>
      <c r="D63" s="292"/>
      <c r="E63" s="292"/>
      <c r="F63" s="292"/>
      <c r="G63" s="339">
        <v>0</v>
      </c>
      <c r="H63" s="292"/>
      <c r="I63" s="299" t="s">
        <v>861</v>
      </c>
      <c r="J63" s="286"/>
    </row>
    <row r="64" spans="1:10" ht="21" customHeight="1">
      <c r="A64" s="382" t="s">
        <v>1034</v>
      </c>
      <c r="B64" s="375" t="s">
        <v>1035</v>
      </c>
      <c r="C64" s="292"/>
      <c r="D64" s="292"/>
      <c r="E64" s="292"/>
      <c r="F64" s="292"/>
      <c r="G64" s="376">
        <v>992000</v>
      </c>
      <c r="H64" s="292"/>
      <c r="I64" s="299" t="s">
        <v>861</v>
      </c>
      <c r="J64" s="286"/>
    </row>
    <row r="65" spans="1:10" ht="21" customHeight="1">
      <c r="A65" s="383" t="s">
        <v>1036</v>
      </c>
      <c r="B65" s="384" t="s">
        <v>1037</v>
      </c>
      <c r="C65" s="384"/>
      <c r="D65" s="384"/>
      <c r="E65" s="384"/>
      <c r="F65" s="384"/>
      <c r="G65" s="385">
        <v>0</v>
      </c>
      <c r="H65" s="384"/>
      <c r="I65" s="386" t="s">
        <v>861</v>
      </c>
      <c r="J65" s="286" t="s">
        <v>1038</v>
      </c>
    </row>
    <row r="66" spans="1:10" ht="21" customHeight="1">
      <c r="A66" s="387" t="s">
        <v>1039</v>
      </c>
      <c r="B66" s="384" t="s">
        <v>1040</v>
      </c>
      <c r="C66" s="384"/>
      <c r="D66" s="384"/>
      <c r="E66" s="384"/>
      <c r="F66" s="384"/>
      <c r="G66" s="385">
        <v>0</v>
      </c>
      <c r="H66" s="384"/>
      <c r="I66" s="386" t="s">
        <v>861</v>
      </c>
      <c r="J66" s="286"/>
    </row>
    <row r="67" spans="1:10" ht="42.75" customHeight="1">
      <c r="A67" s="388" t="s">
        <v>1041</v>
      </c>
      <c r="B67" s="384" t="s">
        <v>1042</v>
      </c>
      <c r="C67" s="384"/>
      <c r="D67" s="384"/>
      <c r="E67" s="384"/>
      <c r="F67" s="384"/>
      <c r="G67" s="385">
        <v>0</v>
      </c>
      <c r="H67" s="384"/>
      <c r="I67" s="386" t="s">
        <v>861</v>
      </c>
      <c r="J67" s="286"/>
    </row>
    <row r="68" spans="1:10" ht="21" customHeight="1">
      <c r="A68" s="377" t="s">
        <v>1043</v>
      </c>
      <c r="B68" s="378" t="s">
        <v>1044</v>
      </c>
      <c r="C68" s="379"/>
      <c r="D68" s="379"/>
      <c r="E68" s="379"/>
      <c r="F68" s="379"/>
      <c r="G68" s="380">
        <f>SUM(G63:G67)</f>
        <v>992000</v>
      </c>
      <c r="H68" s="378"/>
      <c r="I68" s="381" t="s">
        <v>861</v>
      </c>
      <c r="J68" s="286"/>
    </row>
    <row r="69" spans="1:10" ht="3.75" customHeight="1">
      <c r="A69" s="330"/>
      <c r="B69" s="292"/>
      <c r="C69" s="292"/>
      <c r="D69" s="292"/>
      <c r="E69" s="292"/>
      <c r="F69" s="292"/>
      <c r="G69" s="292"/>
      <c r="H69" s="292"/>
      <c r="I69" s="294"/>
      <c r="J69" s="286">
        <v>60</v>
      </c>
    </row>
    <row r="70" spans="1:10" ht="19.5" customHeight="1">
      <c r="A70" s="330" t="s">
        <v>1045</v>
      </c>
      <c r="B70" s="374"/>
      <c r="C70" s="292"/>
      <c r="D70" s="292"/>
      <c r="E70" s="292"/>
      <c r="F70" s="292"/>
      <c r="G70" s="339"/>
      <c r="H70" s="292"/>
      <c r="I70" s="299"/>
      <c r="J70" s="286"/>
    </row>
    <row r="71" spans="1:10" ht="19.5" customHeight="1">
      <c r="A71" s="290" t="s">
        <v>1046</v>
      </c>
      <c r="B71" s="375" t="s">
        <v>1047</v>
      </c>
      <c r="C71" s="292"/>
      <c r="D71" s="292"/>
      <c r="E71" s="292"/>
      <c r="F71" s="292"/>
      <c r="G71" s="339">
        <v>0</v>
      </c>
      <c r="H71" s="292"/>
      <c r="I71" s="299" t="s">
        <v>861</v>
      </c>
      <c r="J71" s="286"/>
    </row>
    <row r="72" spans="1:10" ht="19.5" customHeight="1">
      <c r="A72" s="389" t="s">
        <v>1048</v>
      </c>
      <c r="B72" s="390" t="s">
        <v>1049</v>
      </c>
      <c r="C72" s="391"/>
      <c r="D72" s="391"/>
      <c r="E72" s="391"/>
      <c r="F72" s="391"/>
      <c r="G72" s="392">
        <v>0</v>
      </c>
      <c r="H72" s="391"/>
      <c r="I72" s="393" t="s">
        <v>861</v>
      </c>
      <c r="J72" s="286"/>
    </row>
    <row r="73" spans="1:10" ht="12.75" customHeight="1">
      <c r="A73" s="394"/>
      <c r="B73" s="395"/>
      <c r="C73" s="396"/>
      <c r="D73" s="612"/>
      <c r="E73" s="612"/>
      <c r="F73" s="396"/>
      <c r="G73" s="612"/>
      <c r="H73" s="612"/>
      <c r="I73" s="397"/>
      <c r="J73" s="286"/>
    </row>
    <row r="74" spans="1:10" s="406" customFormat="1" ht="77.25" customHeight="1">
      <c r="A74" s="398" t="s">
        <v>1050</v>
      </c>
      <c r="B74" s="399"/>
      <c r="C74" s="400"/>
      <c r="D74" s="606" t="s">
        <v>1051</v>
      </c>
      <c r="E74" s="607"/>
      <c r="F74" s="401"/>
      <c r="G74" s="402" t="s">
        <v>1052</v>
      </c>
      <c r="H74" s="403"/>
      <c r="I74" s="404"/>
      <c r="J74" s="405"/>
    </row>
    <row r="75" spans="1:10" ht="32.25" customHeight="1">
      <c r="A75" s="407">
        <f>D75+G75</f>
        <v>25302000</v>
      </c>
      <c r="B75" s="378" t="s">
        <v>861</v>
      </c>
      <c r="C75" s="378"/>
      <c r="D75" s="408">
        <f>D41+D51</f>
        <v>1530000</v>
      </c>
      <c r="E75" s="378"/>
      <c r="F75" s="378" t="s">
        <v>861</v>
      </c>
      <c r="G75" s="380">
        <f>G32+G41+G51+G61+G68+G71+G72</f>
        <v>23772000</v>
      </c>
      <c r="H75" s="378"/>
      <c r="I75" s="381" t="s">
        <v>861</v>
      </c>
      <c r="J75" s="286"/>
    </row>
    <row r="76" spans="1:10" ht="7.5" customHeight="1">
      <c r="A76" s="409"/>
      <c r="B76" s="313"/>
      <c r="C76" s="313"/>
      <c r="D76" s="313"/>
      <c r="E76" s="313"/>
      <c r="F76" s="313"/>
      <c r="G76" s="313"/>
      <c r="H76" s="313"/>
      <c r="I76" s="314"/>
      <c r="J76" s="286"/>
    </row>
    <row r="77" spans="1:10">
      <c r="A77" s="315" t="s">
        <v>1053</v>
      </c>
      <c r="B77" s="316"/>
      <c r="C77" s="316"/>
      <c r="D77" s="316"/>
      <c r="E77" s="316"/>
      <c r="F77" s="316"/>
      <c r="G77" s="316"/>
      <c r="H77" s="316"/>
      <c r="I77" s="317"/>
      <c r="J77" s="286"/>
    </row>
    <row r="78" spans="1:10" ht="21" customHeight="1">
      <c r="A78" s="410" t="s">
        <v>1054</v>
      </c>
      <c r="B78" s="411"/>
      <c r="C78" s="411"/>
      <c r="D78" s="411"/>
      <c r="E78" s="411"/>
      <c r="F78" s="411"/>
      <c r="G78" s="411"/>
      <c r="H78" s="411"/>
      <c r="I78" s="412"/>
      <c r="J78" s="286"/>
    </row>
    <row r="79" spans="1:10" ht="21" customHeight="1">
      <c r="A79" s="290" t="s">
        <v>1055</v>
      </c>
      <c r="B79" s="292" t="s">
        <v>1056</v>
      </c>
      <c r="C79" s="292"/>
      <c r="D79" s="413"/>
      <c r="E79" s="292"/>
      <c r="F79" s="292"/>
      <c r="G79" s="339">
        <v>3744000</v>
      </c>
      <c r="H79" s="292"/>
      <c r="I79" s="299" t="s">
        <v>861</v>
      </c>
      <c r="J79" s="286"/>
    </row>
    <row r="80" spans="1:10" ht="21" customHeight="1">
      <c r="A80" s="290" t="s">
        <v>1057</v>
      </c>
      <c r="B80" s="292" t="s">
        <v>1058</v>
      </c>
      <c r="C80" s="292"/>
      <c r="D80" s="292"/>
      <c r="E80" s="292"/>
      <c r="F80" s="292"/>
      <c r="G80" s="339">
        <v>702000</v>
      </c>
      <c r="H80" s="292"/>
      <c r="I80" s="299" t="s">
        <v>861</v>
      </c>
      <c r="J80" s="286"/>
    </row>
    <row r="81" spans="1:10" ht="21" customHeight="1">
      <c r="A81" s="290" t="s">
        <v>1059</v>
      </c>
      <c r="B81" s="292" t="s">
        <v>1060</v>
      </c>
      <c r="C81" s="292"/>
      <c r="D81" s="292"/>
      <c r="E81" s="292"/>
      <c r="F81" s="292"/>
      <c r="G81" s="339">
        <v>0</v>
      </c>
      <c r="H81" s="292"/>
      <c r="I81" s="299" t="s">
        <v>861</v>
      </c>
      <c r="J81" s="286"/>
    </row>
    <row r="82" spans="1:10" ht="21" customHeight="1">
      <c r="A82" s="290" t="s">
        <v>1061</v>
      </c>
      <c r="B82" s="292" t="s">
        <v>1062</v>
      </c>
      <c r="C82" s="292"/>
      <c r="D82" s="292"/>
      <c r="E82" s="292"/>
      <c r="F82" s="292"/>
      <c r="G82" s="376">
        <v>0</v>
      </c>
      <c r="H82" s="292"/>
      <c r="I82" s="299" t="s">
        <v>861</v>
      </c>
      <c r="J82" s="286"/>
    </row>
    <row r="83" spans="1:10" ht="39.75" customHeight="1">
      <c r="A83" s="414" t="s">
        <v>1063</v>
      </c>
      <c r="B83" s="415" t="s">
        <v>1064</v>
      </c>
      <c r="C83" s="415"/>
      <c r="D83" s="415"/>
      <c r="E83" s="415"/>
      <c r="F83" s="415"/>
      <c r="G83" s="416">
        <f>SUM(G79:G82)</f>
        <v>4446000</v>
      </c>
      <c r="H83" s="415"/>
      <c r="I83" s="417" t="s">
        <v>861</v>
      </c>
      <c r="J83" s="286"/>
    </row>
    <row r="84" spans="1:10" ht="21" customHeight="1">
      <c r="A84" s="290" t="s">
        <v>1065</v>
      </c>
      <c r="B84" s="292" t="s">
        <v>1066</v>
      </c>
      <c r="C84" s="292"/>
      <c r="D84" s="292"/>
      <c r="E84" s="292"/>
      <c r="F84" s="292"/>
      <c r="G84" s="418">
        <v>11000000</v>
      </c>
      <c r="H84" s="292"/>
      <c r="I84" s="299" t="s">
        <v>861</v>
      </c>
      <c r="J84" s="286"/>
    </row>
    <row r="85" spans="1:10" ht="21" customHeight="1">
      <c r="A85" s="290" t="s">
        <v>1067</v>
      </c>
      <c r="B85" s="292" t="s">
        <v>1068</v>
      </c>
      <c r="C85" s="292"/>
      <c r="D85" s="292">
        <f>B9</f>
        <v>0</v>
      </c>
      <c r="E85" s="292"/>
      <c r="F85" s="292"/>
      <c r="G85" s="339">
        <v>0</v>
      </c>
      <c r="H85" s="292"/>
      <c r="I85" s="299" t="s">
        <v>861</v>
      </c>
      <c r="J85" s="286"/>
    </row>
    <row r="86" spans="1:10" ht="21" customHeight="1">
      <c r="A86" s="414" t="s">
        <v>1069</v>
      </c>
      <c r="B86" s="331" t="s">
        <v>1070</v>
      </c>
      <c r="C86" s="292"/>
      <c r="D86" s="292"/>
      <c r="E86" s="292"/>
      <c r="F86" s="292"/>
      <c r="G86" s="347">
        <f>SUM(G83:G85)</f>
        <v>15446000</v>
      </c>
      <c r="H86" s="292"/>
      <c r="I86" s="294" t="s">
        <v>861</v>
      </c>
      <c r="J86" s="286"/>
    </row>
    <row r="87" spans="1:10" ht="12" hidden="1" customHeight="1">
      <c r="A87" s="330"/>
      <c r="B87" s="292"/>
      <c r="C87" s="292"/>
      <c r="D87" s="292"/>
      <c r="E87" s="292"/>
      <c r="F87" s="292"/>
      <c r="G87" s="292"/>
      <c r="H87" s="292"/>
      <c r="I87" s="294"/>
      <c r="J87" s="286"/>
    </row>
    <row r="88" spans="1:10" ht="5.25" customHeight="1">
      <c r="A88" s="370"/>
      <c r="B88" s="419"/>
      <c r="C88" s="357"/>
      <c r="D88" s="357"/>
      <c r="E88" s="357"/>
      <c r="F88" s="357"/>
      <c r="G88" s="371"/>
      <c r="H88" s="357"/>
      <c r="I88" s="358"/>
      <c r="J88" s="286"/>
    </row>
    <row r="89" spans="1:10" ht="5.25" customHeight="1">
      <c r="A89" s="420"/>
      <c r="B89" s="297"/>
      <c r="C89" s="297"/>
      <c r="D89" s="297"/>
      <c r="E89" s="297"/>
      <c r="F89" s="297"/>
      <c r="G89" s="297"/>
      <c r="H89" s="297"/>
      <c r="I89" s="421"/>
      <c r="J89" s="286"/>
    </row>
    <row r="90" spans="1:10" ht="20.25" customHeight="1">
      <c r="A90" s="330" t="s">
        <v>1071</v>
      </c>
      <c r="B90" s="292"/>
      <c r="C90" s="292"/>
      <c r="D90" s="292"/>
      <c r="E90" s="292"/>
      <c r="F90" s="292"/>
      <c r="G90" s="292"/>
      <c r="H90" s="292"/>
      <c r="I90" s="294"/>
      <c r="J90" s="286"/>
    </row>
    <row r="91" spans="1:10" ht="20.25" customHeight="1">
      <c r="A91" s="290" t="s">
        <v>1072</v>
      </c>
      <c r="B91" s="292" t="s">
        <v>1073</v>
      </c>
      <c r="C91" s="292"/>
      <c r="D91" s="292"/>
      <c r="E91" s="292"/>
      <c r="F91" s="292"/>
      <c r="G91" s="339">
        <v>3880000</v>
      </c>
      <c r="H91" s="292"/>
      <c r="I91" s="294" t="s">
        <v>861</v>
      </c>
    </row>
    <row r="92" spans="1:10" ht="20.25" customHeight="1">
      <c r="A92" s="290" t="s">
        <v>1074</v>
      </c>
      <c r="B92" s="292" t="s">
        <v>1075</v>
      </c>
      <c r="C92" s="292"/>
      <c r="D92" s="292"/>
      <c r="E92" s="292"/>
      <c r="F92" s="292"/>
      <c r="G92" s="339">
        <v>572000</v>
      </c>
      <c r="H92" s="292"/>
      <c r="I92" s="294" t="s">
        <v>861</v>
      </c>
    </row>
    <row r="93" spans="1:10" ht="20.25" customHeight="1">
      <c r="A93" s="290" t="s">
        <v>1076</v>
      </c>
      <c r="B93" s="292" t="s">
        <v>1077</v>
      </c>
      <c r="C93" s="292"/>
      <c r="D93" s="292"/>
      <c r="E93" s="292"/>
      <c r="F93" s="292"/>
      <c r="G93" s="339">
        <v>0</v>
      </c>
      <c r="H93" s="292"/>
      <c r="I93" s="294" t="s">
        <v>861</v>
      </c>
    </row>
    <row r="94" spans="1:10" ht="20.25" customHeight="1">
      <c r="A94" s="422" t="s">
        <v>1078</v>
      </c>
      <c r="B94" s="423" t="s">
        <v>1079</v>
      </c>
      <c r="C94" s="423"/>
      <c r="D94" s="423"/>
      <c r="E94" s="423"/>
      <c r="F94" s="423"/>
      <c r="G94" s="424">
        <v>572000</v>
      </c>
      <c r="H94" s="423"/>
      <c r="I94" s="425" t="s">
        <v>861</v>
      </c>
    </row>
    <row r="95" spans="1:10" ht="12" customHeight="1">
      <c r="A95" s="420"/>
      <c r="B95" s="297"/>
      <c r="C95" s="297"/>
      <c r="D95" s="297"/>
      <c r="E95" s="297"/>
      <c r="F95" s="297"/>
      <c r="G95" s="297"/>
      <c r="H95" s="297"/>
      <c r="I95" s="426"/>
    </row>
    <row r="96" spans="1:10" ht="19.5" customHeight="1">
      <c r="A96" s="330" t="s">
        <v>1080</v>
      </c>
      <c r="B96" s="292"/>
      <c r="C96" s="292"/>
      <c r="D96" s="292"/>
      <c r="E96" s="292"/>
      <c r="F96" s="292"/>
      <c r="G96" s="292"/>
      <c r="H96" s="292"/>
      <c r="I96" s="294"/>
    </row>
    <row r="97" spans="1:9" ht="19.5" customHeight="1">
      <c r="A97" s="290" t="s">
        <v>1081</v>
      </c>
      <c r="B97" s="292" t="s">
        <v>1082</v>
      </c>
      <c r="C97" s="292"/>
      <c r="D97" s="292"/>
      <c r="E97" s="292"/>
      <c r="F97" s="292"/>
      <c r="G97" s="339">
        <v>0</v>
      </c>
      <c r="H97" s="292"/>
      <c r="I97" s="294" t="s">
        <v>861</v>
      </c>
    </row>
    <row r="98" spans="1:9" ht="19.5" customHeight="1">
      <c r="A98" s="290" t="s">
        <v>1083</v>
      </c>
      <c r="B98" s="292" t="s">
        <v>1084</v>
      </c>
      <c r="C98" s="292"/>
      <c r="D98" s="292"/>
      <c r="E98" s="292"/>
      <c r="F98" s="292"/>
      <c r="G98" s="339">
        <v>0</v>
      </c>
      <c r="H98" s="292"/>
      <c r="I98" s="294" t="s">
        <v>861</v>
      </c>
    </row>
    <row r="99" spans="1:9" ht="35.25" customHeight="1">
      <c r="A99" s="427" t="s">
        <v>1085</v>
      </c>
      <c r="B99" s="374" t="s">
        <v>1086</v>
      </c>
      <c r="C99" s="302"/>
      <c r="D99" s="302"/>
      <c r="E99" s="302"/>
      <c r="F99" s="302"/>
      <c r="G99" s="344">
        <v>0</v>
      </c>
      <c r="H99" s="302"/>
      <c r="I99" s="428" t="s">
        <v>861</v>
      </c>
    </row>
    <row r="100" spans="1:9" ht="19.5" customHeight="1">
      <c r="A100" s="290" t="s">
        <v>1087</v>
      </c>
      <c r="B100" s="292" t="s">
        <v>1088</v>
      </c>
      <c r="C100" s="292"/>
      <c r="D100" s="292"/>
      <c r="E100" s="292"/>
      <c r="F100" s="292"/>
      <c r="G100" s="339">
        <v>0</v>
      </c>
      <c r="H100" s="292"/>
      <c r="I100" s="294" t="s">
        <v>861</v>
      </c>
    </row>
    <row r="101" spans="1:9" ht="35.25" customHeight="1">
      <c r="A101" s="429" t="s">
        <v>1089</v>
      </c>
      <c r="B101" s="292" t="s">
        <v>1090</v>
      </c>
      <c r="C101" s="292"/>
      <c r="D101" s="292"/>
      <c r="E101" s="292"/>
      <c r="F101" s="292"/>
      <c r="G101" s="339">
        <v>0</v>
      </c>
      <c r="H101" s="292"/>
      <c r="I101" s="294" t="s">
        <v>861</v>
      </c>
    </row>
    <row r="102" spans="1:9" ht="35.25" customHeight="1">
      <c r="A102" s="414" t="s">
        <v>1091</v>
      </c>
      <c r="B102" s="331" t="s">
        <v>1092</v>
      </c>
      <c r="C102" s="292"/>
      <c r="D102" s="292"/>
      <c r="E102" s="292"/>
      <c r="F102" s="292"/>
      <c r="G102" s="347">
        <f>SUM(G97:G101)</f>
        <v>0</v>
      </c>
      <c r="H102" s="331"/>
      <c r="I102" s="335" t="s">
        <v>861</v>
      </c>
    </row>
    <row r="103" spans="1:9" hidden="1">
      <c r="A103" s="330"/>
      <c r="B103" s="292"/>
      <c r="C103" s="292"/>
      <c r="D103" s="292"/>
      <c r="E103" s="292"/>
      <c r="F103" s="292"/>
      <c r="G103" s="292"/>
      <c r="H103" s="292"/>
      <c r="I103" s="294"/>
    </row>
    <row r="104" spans="1:9" ht="5.25" customHeight="1">
      <c r="A104" s="312"/>
      <c r="B104" s="313"/>
      <c r="C104" s="313"/>
      <c r="D104" s="313"/>
      <c r="E104" s="313"/>
      <c r="F104" s="313"/>
      <c r="G104" s="313"/>
      <c r="H104" s="313"/>
      <c r="I104" s="430"/>
    </row>
    <row r="105" spans="1:9" ht="20.25" customHeight="1">
      <c r="A105" s="315" t="s">
        <v>1093</v>
      </c>
      <c r="B105" s="316"/>
      <c r="C105" s="316"/>
      <c r="D105" s="316"/>
      <c r="E105" s="316"/>
      <c r="F105" s="316"/>
      <c r="G105" s="316"/>
      <c r="H105" s="316"/>
      <c r="I105" s="431"/>
    </row>
    <row r="106" spans="1:9" ht="18.75" customHeight="1">
      <c r="A106" s="410" t="s">
        <v>1094</v>
      </c>
      <c r="B106" s="411"/>
      <c r="C106" s="411"/>
      <c r="D106" s="411"/>
      <c r="E106" s="411"/>
      <c r="F106" s="411"/>
      <c r="G106" s="320"/>
      <c r="H106" s="292"/>
      <c r="I106" s="294"/>
    </row>
    <row r="107" spans="1:9" ht="18.75" customHeight="1">
      <c r="A107" s="290" t="s">
        <v>1095</v>
      </c>
      <c r="B107" s="292" t="s">
        <v>1096</v>
      </c>
      <c r="C107" s="292"/>
      <c r="D107" s="292"/>
      <c r="E107" s="292"/>
      <c r="F107" s="292"/>
      <c r="G107" s="339">
        <v>0</v>
      </c>
      <c r="H107" s="292"/>
      <c r="I107" s="294" t="s">
        <v>861</v>
      </c>
    </row>
    <row r="108" spans="1:9" ht="36.75" customHeight="1">
      <c r="A108" s="432" t="s">
        <v>1097</v>
      </c>
      <c r="B108" s="292" t="s">
        <v>1098</v>
      </c>
      <c r="C108" s="292"/>
      <c r="D108" s="292"/>
      <c r="E108" s="292"/>
      <c r="F108" s="292"/>
      <c r="G108" s="339">
        <v>0</v>
      </c>
      <c r="H108" s="292"/>
      <c r="I108" s="294" t="s">
        <v>861</v>
      </c>
    </row>
    <row r="109" spans="1:9" ht="18.75" customHeight="1">
      <c r="A109" s="290" t="s">
        <v>1099</v>
      </c>
      <c r="B109" s="292" t="s">
        <v>1100</v>
      </c>
      <c r="C109" s="292"/>
      <c r="D109" s="292"/>
      <c r="E109" s="292"/>
      <c r="F109" s="292"/>
      <c r="G109" s="339">
        <v>0</v>
      </c>
      <c r="H109" s="292"/>
      <c r="I109" s="294" t="s">
        <v>861</v>
      </c>
    </row>
    <row r="110" spans="1:9" ht="18.75" customHeight="1">
      <c r="A110" s="290" t="s">
        <v>1101</v>
      </c>
      <c r="B110" s="292" t="s">
        <v>1102</v>
      </c>
      <c r="C110" s="292"/>
      <c r="D110" s="292"/>
      <c r="E110" s="292"/>
      <c r="F110" s="292"/>
      <c r="G110" s="339">
        <v>0</v>
      </c>
      <c r="H110" s="292"/>
      <c r="I110" s="294" t="s">
        <v>861</v>
      </c>
    </row>
    <row r="111" spans="1:9" ht="34.5" customHeight="1">
      <c r="A111" s="414" t="s">
        <v>1103</v>
      </c>
      <c r="B111" s="331" t="s">
        <v>1104</v>
      </c>
      <c r="C111" s="292"/>
      <c r="D111" s="292"/>
      <c r="E111" s="292"/>
      <c r="F111" s="292"/>
      <c r="G111" s="347">
        <f>SUM(G107:G110)</f>
        <v>0</v>
      </c>
      <c r="H111" s="331"/>
      <c r="I111" s="335" t="s">
        <v>861</v>
      </c>
    </row>
    <row r="112" spans="1:9" ht="10.5" hidden="1" customHeight="1">
      <c r="A112" s="290" t="s">
        <v>1105</v>
      </c>
      <c r="B112" s="292"/>
      <c r="C112" s="292"/>
      <c r="D112" s="292"/>
      <c r="E112" s="292"/>
      <c r="F112" s="292"/>
      <c r="G112" s="320"/>
      <c r="H112" s="292"/>
      <c r="I112" s="294"/>
    </row>
    <row r="113" spans="1:9" ht="6" customHeight="1">
      <c r="A113" s="420"/>
      <c r="B113" s="419"/>
      <c r="C113" s="357"/>
      <c r="D113" s="357"/>
      <c r="E113" s="357"/>
      <c r="F113" s="357"/>
      <c r="G113" s="433"/>
      <c r="H113" s="434"/>
      <c r="I113" s="435"/>
    </row>
    <row r="114" spans="1:9" ht="6" customHeight="1">
      <c r="A114" s="359"/>
      <c r="B114" s="436"/>
      <c r="C114" s="297"/>
      <c r="D114" s="297"/>
      <c r="E114" s="297"/>
      <c r="F114" s="297"/>
      <c r="G114" s="437"/>
      <c r="H114" s="322"/>
      <c r="I114" s="438"/>
    </row>
    <row r="115" spans="1:9" ht="18.75" customHeight="1">
      <c r="A115" s="330" t="s">
        <v>1106</v>
      </c>
      <c r="B115" s="331" t="s">
        <v>1107</v>
      </c>
      <c r="C115" s="292"/>
      <c r="D115" s="366"/>
      <c r="E115" s="292"/>
      <c r="F115" s="292"/>
      <c r="G115" s="347">
        <v>20284000</v>
      </c>
      <c r="H115" s="331"/>
      <c r="I115" s="335" t="s">
        <v>861</v>
      </c>
    </row>
    <row r="116" spans="1:9" hidden="1">
      <c r="A116" s="290"/>
      <c r="B116" s="292"/>
      <c r="C116" s="292"/>
      <c r="D116" s="366"/>
      <c r="E116" s="292"/>
      <c r="F116" s="292"/>
      <c r="G116" s="339"/>
      <c r="H116" s="292"/>
      <c r="I116" s="294"/>
    </row>
    <row r="117" spans="1:9" ht="18.75" customHeight="1">
      <c r="A117" s="290" t="s">
        <v>1108</v>
      </c>
      <c r="B117" s="292" t="s">
        <v>1109</v>
      </c>
      <c r="C117" s="292"/>
      <c r="D117" s="366"/>
      <c r="E117" s="292"/>
      <c r="F117" s="292"/>
      <c r="G117" s="339">
        <v>0</v>
      </c>
      <c r="H117" s="292"/>
      <c r="I117" s="294" t="s">
        <v>861</v>
      </c>
    </row>
    <row r="118" spans="1:9" ht="20.25" customHeight="1">
      <c r="A118" s="330" t="s">
        <v>1110</v>
      </c>
      <c r="B118" s="331" t="s">
        <v>1111</v>
      </c>
      <c r="C118" s="292"/>
      <c r="D118" s="366"/>
      <c r="E118" s="292"/>
      <c r="F118" s="292"/>
      <c r="G118" s="439">
        <v>20284000</v>
      </c>
      <c r="H118" s="331"/>
      <c r="I118" s="335" t="s">
        <v>861</v>
      </c>
    </row>
    <row r="119" spans="1:9" ht="17.25" customHeight="1">
      <c r="A119" s="283"/>
      <c r="B119" s="284"/>
      <c r="C119" s="284"/>
      <c r="D119" s="284"/>
      <c r="E119" s="284"/>
      <c r="F119" s="284"/>
      <c r="G119" s="284"/>
      <c r="H119" s="284"/>
      <c r="I119" s="440"/>
    </row>
    <row r="120" spans="1:9" ht="43.5" customHeight="1">
      <c r="A120" s="608" t="s">
        <v>1112</v>
      </c>
      <c r="B120" s="609"/>
      <c r="C120" s="609"/>
      <c r="D120" s="609"/>
      <c r="E120" s="609"/>
      <c r="F120" s="609"/>
      <c r="G120" s="609"/>
      <c r="H120" s="609"/>
      <c r="I120" s="610"/>
    </row>
    <row r="123" spans="1:9">
      <c r="G123" s="441"/>
    </row>
  </sheetData>
  <mergeCells count="15">
    <mergeCell ref="D74:E74"/>
    <mergeCell ref="A120:I120"/>
    <mergeCell ref="D44:E44"/>
    <mergeCell ref="G44:H44"/>
    <mergeCell ref="D52:E52"/>
    <mergeCell ref="G52:H52"/>
    <mergeCell ref="D73:E73"/>
    <mergeCell ref="G73:H73"/>
    <mergeCell ref="D34:E34"/>
    <mergeCell ref="G34:H34"/>
    <mergeCell ref="A1:I1"/>
    <mergeCell ref="A2:I2"/>
    <mergeCell ref="G5:H5"/>
    <mergeCell ref="G6:H6"/>
    <mergeCell ref="B7:I7"/>
  </mergeCells>
  <pageMargins left="0.7" right="0.7" top="0.75" bottom="0.75" header="0.3" footer="0.3"/>
  <pageSetup scale="43"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85DB-A686-4CBD-9C25-4EA3DD881F57}">
  <dimension ref="A1:B5"/>
  <sheetViews>
    <sheetView workbookViewId="0">
      <selection activeCell="B1" sqref="B1"/>
    </sheetView>
  </sheetViews>
  <sheetFormatPr baseColWidth="10" defaultColWidth="8.83203125" defaultRowHeight="15"/>
  <cols>
    <col min="1" max="1" width="17.5" customWidth="1"/>
    <col min="2" max="2" width="46.6640625" customWidth="1"/>
    <col min="3" max="5" width="9" customWidth="1"/>
  </cols>
  <sheetData>
    <row r="1" spans="1:2">
      <c r="A1" s="504" t="s">
        <v>1113</v>
      </c>
      <c r="B1" s="504"/>
    </row>
    <row r="2" spans="1:2">
      <c r="A2" s="503" t="s">
        <v>173</v>
      </c>
      <c r="B2" s="503" t="s">
        <v>89</v>
      </c>
    </row>
    <row r="3" spans="1:2">
      <c r="A3">
        <v>1</v>
      </c>
      <c r="B3" t="s">
        <v>897</v>
      </c>
    </row>
    <row r="4" spans="1:2">
      <c r="A4">
        <v>2</v>
      </c>
      <c r="B4" t="s">
        <v>1114</v>
      </c>
    </row>
    <row r="5" spans="1:2">
      <c r="A5">
        <v>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5F32-85F3-4DBC-982F-07C3DA983898}">
  <dimension ref="A1:C24"/>
  <sheetViews>
    <sheetView workbookViewId="0">
      <selection activeCell="B8" sqref="B8"/>
    </sheetView>
  </sheetViews>
  <sheetFormatPr baseColWidth="10" defaultColWidth="8.83203125" defaultRowHeight="15"/>
  <cols>
    <col min="1" max="1" width="16" customWidth="1"/>
    <col min="2" max="2" width="102.6640625" customWidth="1"/>
    <col min="3" max="3" width="49.83203125" customWidth="1"/>
    <col min="4" max="4" width="16" bestFit="1" customWidth="1"/>
    <col min="5" max="5" width="14.5" customWidth="1"/>
    <col min="6" max="6" width="16.5" customWidth="1"/>
    <col min="7" max="7" width="28.83203125" customWidth="1"/>
  </cols>
  <sheetData>
    <row r="1" spans="1:3" ht="16">
      <c r="A1" s="15" t="s">
        <v>1115</v>
      </c>
      <c r="B1" s="15" t="s">
        <v>1116</v>
      </c>
      <c r="C1" s="15" t="s">
        <v>1117</v>
      </c>
    </row>
    <row r="2" spans="1:3">
      <c r="A2" s="266" t="s">
        <v>1118</v>
      </c>
      <c r="B2" s="267" t="s">
        <v>1119</v>
      </c>
      <c r="C2" s="268" t="s">
        <v>1120</v>
      </c>
    </row>
    <row r="3" spans="1:3" ht="30">
      <c r="A3" s="266" t="s">
        <v>1121</v>
      </c>
      <c r="B3" s="269" t="s">
        <v>1122</v>
      </c>
      <c r="C3" s="268"/>
    </row>
    <row r="4" spans="1:3" ht="30">
      <c r="A4" s="613" t="s">
        <v>360</v>
      </c>
      <c r="B4" s="269" t="s">
        <v>1123</v>
      </c>
      <c r="C4" s="270"/>
    </row>
    <row r="5" spans="1:3" ht="30">
      <c r="A5" s="614"/>
      <c r="B5" s="271" t="s">
        <v>1124</v>
      </c>
      <c r="C5" s="270"/>
    </row>
    <row r="6" spans="1:3">
      <c r="A6" s="614"/>
      <c r="B6" s="269" t="s">
        <v>1125</v>
      </c>
      <c r="C6" s="270"/>
    </row>
    <row r="7" spans="1:3">
      <c r="A7" s="615"/>
      <c r="B7" s="269" t="s">
        <v>1126</v>
      </c>
      <c r="C7" s="270"/>
    </row>
    <row r="8" spans="1:3" ht="45">
      <c r="A8" s="616" t="s">
        <v>1127</v>
      </c>
      <c r="B8" s="271" t="s">
        <v>1128</v>
      </c>
      <c r="C8" s="270"/>
    </row>
    <row r="9" spans="1:3" ht="45">
      <c r="A9" s="616"/>
      <c r="B9" s="271" t="s">
        <v>1129</v>
      </c>
      <c r="C9" s="270"/>
    </row>
    <row r="10" spans="1:3">
      <c r="A10" s="616"/>
      <c r="B10" s="267" t="s">
        <v>1130</v>
      </c>
      <c r="C10" s="270"/>
    </row>
    <row r="11" spans="1:3" ht="30">
      <c r="A11" s="616"/>
      <c r="B11" s="269" t="s">
        <v>1131</v>
      </c>
      <c r="C11" s="270"/>
    </row>
    <row r="12" spans="1:3" ht="75">
      <c r="A12" s="266" t="s">
        <v>373</v>
      </c>
      <c r="B12" s="269" t="s">
        <v>1132</v>
      </c>
      <c r="C12" s="270"/>
    </row>
    <row r="13" spans="1:3" ht="30">
      <c r="A13" s="613" t="s">
        <v>1133</v>
      </c>
      <c r="B13" s="269" t="s">
        <v>1134</v>
      </c>
      <c r="C13" s="270"/>
    </row>
    <row r="14" spans="1:3" ht="45">
      <c r="A14" s="614"/>
      <c r="B14" s="271" t="s">
        <v>1135</v>
      </c>
      <c r="C14" s="270"/>
    </row>
    <row r="15" spans="1:3" ht="60">
      <c r="A15" s="614"/>
      <c r="B15" s="271" t="s">
        <v>1136</v>
      </c>
      <c r="C15" s="270"/>
    </row>
    <row r="16" spans="1:3" ht="45">
      <c r="A16" s="615"/>
      <c r="B16" s="271" t="s">
        <v>1137</v>
      </c>
      <c r="C16" s="270"/>
    </row>
    <row r="17" spans="1:3" ht="30">
      <c r="A17" s="272" t="s">
        <v>1138</v>
      </c>
      <c r="B17" s="269" t="s">
        <v>1139</v>
      </c>
      <c r="C17" s="270"/>
    </row>
    <row r="18" spans="1:3" ht="105">
      <c r="A18" s="613" t="s">
        <v>1140</v>
      </c>
      <c r="B18" s="269" t="s">
        <v>1141</v>
      </c>
      <c r="C18" s="270"/>
    </row>
    <row r="19" spans="1:3" ht="30">
      <c r="A19" s="614"/>
      <c r="B19" s="271" t="s">
        <v>1142</v>
      </c>
      <c r="C19" s="270"/>
    </row>
    <row r="20" spans="1:3" ht="75">
      <c r="A20" s="615"/>
      <c r="B20" s="271" t="s">
        <v>1143</v>
      </c>
      <c r="C20" s="270"/>
    </row>
    <row r="21" spans="1:3" ht="75">
      <c r="A21" s="273" t="s">
        <v>1144</v>
      </c>
      <c r="B21" s="269" t="s">
        <v>1145</v>
      </c>
      <c r="C21" s="270"/>
    </row>
    <row r="22" spans="1:3" ht="105">
      <c r="A22" s="266" t="s">
        <v>366</v>
      </c>
      <c r="B22" s="269" t="s">
        <v>1146</v>
      </c>
      <c r="C22" s="274"/>
    </row>
    <row r="23" spans="1:3" ht="120">
      <c r="A23" s="266" t="s">
        <v>1147</v>
      </c>
      <c r="B23" s="271" t="s">
        <v>1148</v>
      </c>
      <c r="C23" s="270"/>
    </row>
    <row r="24" spans="1:3" ht="30">
      <c r="A24" s="266" t="s">
        <v>1149</v>
      </c>
      <c r="B24" s="269" t="s">
        <v>1150</v>
      </c>
      <c r="C24" s="270"/>
    </row>
  </sheetData>
  <mergeCells count="4">
    <mergeCell ref="A4:A7"/>
    <mergeCell ref="A8:A11"/>
    <mergeCell ref="A13:A16"/>
    <mergeCell ref="A18:A2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E9B4D-56EB-4243-B551-1BA715C834EC}">
  <dimension ref="A1:D22"/>
  <sheetViews>
    <sheetView workbookViewId="0">
      <selection activeCell="G6" sqref="G6"/>
    </sheetView>
  </sheetViews>
  <sheetFormatPr baseColWidth="10" defaultColWidth="8.83203125" defaultRowHeight="15"/>
  <cols>
    <col min="1" max="1" width="10.5" bestFit="1" customWidth="1"/>
    <col min="2" max="2" width="37.5" customWidth="1"/>
    <col min="3" max="3" width="30.5" bestFit="1" customWidth="1"/>
    <col min="4" max="4" width="9.5" bestFit="1" customWidth="1"/>
  </cols>
  <sheetData>
    <row r="1" spans="1:4" ht="16">
      <c r="A1" s="15" t="s">
        <v>173</v>
      </c>
      <c r="B1" s="15" t="s">
        <v>83</v>
      </c>
      <c r="C1" s="15" t="s">
        <v>1151</v>
      </c>
    </row>
    <row r="2" spans="1:4">
      <c r="A2" s="18">
        <v>1</v>
      </c>
      <c r="B2" s="16" t="s">
        <v>1152</v>
      </c>
      <c r="C2" s="22" t="s">
        <v>1153</v>
      </c>
    </row>
    <row r="3" spans="1:4">
      <c r="A3" s="20">
        <v>2</v>
      </c>
      <c r="B3" s="21" t="s">
        <v>1154</v>
      </c>
      <c r="C3" s="25" t="s">
        <v>1155</v>
      </c>
    </row>
    <row r="4" spans="1:4">
      <c r="A4" s="18"/>
      <c r="B4" s="16"/>
      <c r="C4" s="16"/>
    </row>
    <row r="5" spans="1:4">
      <c r="A5" s="23"/>
      <c r="B5" s="23"/>
      <c r="C5" s="23"/>
    </row>
    <row r="6" spans="1:4">
      <c r="A6" s="619" t="s">
        <v>1156</v>
      </c>
      <c r="B6" s="619"/>
      <c r="C6" s="619"/>
    </row>
    <row r="7" spans="1:4">
      <c r="A7" s="618" t="s">
        <v>1157</v>
      </c>
      <c r="B7" s="618"/>
    </row>
    <row r="8" spans="1:4">
      <c r="A8" s="619" t="s">
        <v>1158</v>
      </c>
      <c r="B8" s="619"/>
    </row>
    <row r="9" spans="1:4">
      <c r="A9" s="619" t="s">
        <v>1159</v>
      </c>
      <c r="B9" s="619"/>
    </row>
    <row r="10" spans="1:4">
      <c r="A10" s="619" t="s">
        <v>1160</v>
      </c>
      <c r="B10" s="619"/>
    </row>
    <row r="11" spans="1:4">
      <c r="A11" s="619" t="s">
        <v>1161</v>
      </c>
      <c r="B11" s="619"/>
    </row>
    <row r="13" spans="1:4">
      <c r="A13" s="617" t="s">
        <v>1162</v>
      </c>
      <c r="B13" s="617"/>
      <c r="C13" s="617"/>
      <c r="D13" s="617"/>
    </row>
    <row r="14" spans="1:4">
      <c r="A14" s="507"/>
      <c r="B14" s="507"/>
      <c r="C14" s="507"/>
      <c r="D14" s="507"/>
    </row>
    <row r="15" spans="1:4">
      <c r="A15" s="509" t="s">
        <v>1163</v>
      </c>
      <c r="B15" s="508" t="s">
        <v>1164</v>
      </c>
      <c r="C15" s="509" t="s">
        <v>1165</v>
      </c>
      <c r="D15" s="509" t="s">
        <v>1166</v>
      </c>
    </row>
    <row r="16" spans="1:4">
      <c r="A16" s="511">
        <v>0.05</v>
      </c>
      <c r="B16" s="508">
        <v>0</v>
      </c>
      <c r="C16" s="510">
        <v>5000000</v>
      </c>
      <c r="D16" s="509">
        <v>0</v>
      </c>
    </row>
    <row r="17" spans="1:4">
      <c r="A17" s="511">
        <v>0.1</v>
      </c>
      <c r="B17" s="512">
        <v>5000000</v>
      </c>
      <c r="C17" s="510">
        <v>10000000</v>
      </c>
      <c r="D17" s="510">
        <v>250000</v>
      </c>
    </row>
    <row r="18" spans="1:4">
      <c r="A18" s="513"/>
      <c r="B18" s="513"/>
      <c r="C18" s="513"/>
      <c r="D18" s="513"/>
    </row>
    <row r="19" spans="1:4">
      <c r="A19" s="515">
        <v>0.3</v>
      </c>
      <c r="B19" s="514">
        <v>52000000</v>
      </c>
      <c r="C19" s="514">
        <v>80000000</v>
      </c>
      <c r="D19" s="514">
        <v>5850000</v>
      </c>
    </row>
    <row r="20" spans="1:4">
      <c r="A20" s="513"/>
      <c r="B20" s="513"/>
      <c r="C20" s="513"/>
      <c r="D20" s="513"/>
    </row>
    <row r="22" spans="1:4" ht="108" customHeight="1">
      <c r="A22" s="618" t="s">
        <v>1167</v>
      </c>
      <c r="B22" s="618"/>
      <c r="C22" s="618"/>
      <c r="D22" s="618"/>
    </row>
  </sheetData>
  <mergeCells count="8">
    <mergeCell ref="A13:D13"/>
    <mergeCell ref="A22:D22"/>
    <mergeCell ref="A11:B11"/>
    <mergeCell ref="A6:C6"/>
    <mergeCell ref="A7:B7"/>
    <mergeCell ref="A8:B8"/>
    <mergeCell ref="A9:B9"/>
    <mergeCell ref="A10:B10"/>
  </mergeCells>
  <hyperlinks>
    <hyperlink ref="C2" r:id="rId1" xr:uid="{0B2F4352-3F12-4997-9B14-5D7F192F8681}"/>
    <hyperlink ref="C3" r:id="rId2" xr:uid="{0AEDDE75-2739-4476-911D-2B63040C06C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C1E3C-F9E3-4382-A0B6-BC92E653785E}">
  <dimension ref="A1:L30"/>
  <sheetViews>
    <sheetView zoomScale="85" zoomScaleNormal="85" workbookViewId="0">
      <selection activeCell="A2" sqref="A2:C2"/>
    </sheetView>
  </sheetViews>
  <sheetFormatPr baseColWidth="10" defaultColWidth="9.1640625" defaultRowHeight="15"/>
  <cols>
    <col min="1" max="1" width="3" style="5" customWidth="1"/>
    <col min="2" max="2" width="47" style="5" customWidth="1"/>
    <col min="3" max="3" width="51.5" style="5" customWidth="1"/>
    <col min="4" max="4" width="16" style="5" customWidth="1"/>
    <col min="5" max="6" width="13.83203125" style="5" customWidth="1"/>
    <col min="7" max="7" width="14.5" style="5" customWidth="1"/>
    <col min="8" max="8" width="20.5" style="5" customWidth="1"/>
    <col min="9" max="9" width="8.5" style="10" customWidth="1"/>
    <col min="10" max="10" width="10.5" style="10" customWidth="1"/>
    <col min="11" max="16384" width="9.1640625" style="5"/>
  </cols>
  <sheetData>
    <row r="1" spans="1:10" ht="21">
      <c r="A1" s="621" t="s">
        <v>1168</v>
      </c>
      <c r="B1" s="621"/>
      <c r="C1" s="621"/>
      <c r="D1" s="4"/>
    </row>
    <row r="2" spans="1:10" s="8" customFormat="1" ht="16">
      <c r="A2" s="620" t="s">
        <v>1169</v>
      </c>
      <c r="B2" s="620"/>
      <c r="C2" s="620"/>
      <c r="I2" s="10"/>
      <c r="J2" s="10"/>
    </row>
    <row r="3" spans="1:10" s="7" customFormat="1" ht="18" customHeight="1">
      <c r="A3" s="15" t="s">
        <v>173</v>
      </c>
      <c r="B3" s="15" t="s">
        <v>1170</v>
      </c>
      <c r="C3" s="15" t="s">
        <v>1171</v>
      </c>
      <c r="D3" s="15" t="s">
        <v>5</v>
      </c>
      <c r="E3" s="15" t="s">
        <v>1172</v>
      </c>
      <c r="F3" s="15" t="s">
        <v>1173</v>
      </c>
      <c r="G3" s="15" t="s">
        <v>1174</v>
      </c>
      <c r="H3" s="15" t="s">
        <v>1175</v>
      </c>
      <c r="I3" s="15" t="s">
        <v>6</v>
      </c>
      <c r="J3" s="15" t="s">
        <v>2</v>
      </c>
    </row>
    <row r="4" spans="1:10" ht="16">
      <c r="A4" s="5">
        <v>1</v>
      </c>
      <c r="B4" s="5" t="s">
        <v>1176</v>
      </c>
      <c r="C4" s="5" t="s">
        <v>1177</v>
      </c>
      <c r="D4" s="5" t="s">
        <v>1178</v>
      </c>
      <c r="I4" s="10">
        <v>3</v>
      </c>
      <c r="J4" s="10" t="e">
        <f>IF(H4="","",VALUE(LEFT(H4,1)))*IF(D4="High",3,IF(D4="Medium",2,IF(D4="Low",1,"")))</f>
        <v>#VALUE!</v>
      </c>
    </row>
    <row r="5" spans="1:10" ht="16">
      <c r="A5" s="5">
        <v>2</v>
      </c>
      <c r="B5" s="5" t="s">
        <v>1179</v>
      </c>
      <c r="C5" s="5" t="s">
        <v>1180</v>
      </c>
      <c r="D5" s="5" t="s">
        <v>1178</v>
      </c>
      <c r="I5" s="10">
        <v>3</v>
      </c>
      <c r="J5" s="10" t="e">
        <f t="shared" ref="J5:J17" si="0">IF(H5="","",VALUE(LEFT(H5,1)))*IF(D5="High",3,IF(D5="Medium",2,IF(D5="Low",1,"")))</f>
        <v>#VALUE!</v>
      </c>
    </row>
    <row r="6" spans="1:10" ht="16">
      <c r="A6" s="5">
        <v>3</v>
      </c>
      <c r="B6" s="5" t="s">
        <v>75</v>
      </c>
      <c r="C6" s="5" t="s">
        <v>1181</v>
      </c>
      <c r="D6" s="5" t="s">
        <v>1178</v>
      </c>
      <c r="I6" s="10">
        <v>3</v>
      </c>
      <c r="J6" s="10" t="e">
        <f t="shared" si="0"/>
        <v>#VALUE!</v>
      </c>
    </row>
    <row r="7" spans="1:10" ht="16">
      <c r="A7" s="5">
        <v>4</v>
      </c>
      <c r="B7" s="5" t="s">
        <v>1182</v>
      </c>
      <c r="C7" s="5" t="s">
        <v>1183</v>
      </c>
      <c r="D7" s="5" t="s">
        <v>1178</v>
      </c>
      <c r="I7" s="10">
        <v>3</v>
      </c>
      <c r="J7" s="10" t="e">
        <f t="shared" si="0"/>
        <v>#VALUE!</v>
      </c>
    </row>
    <row r="8" spans="1:10" ht="16">
      <c r="A8" s="5">
        <v>5</v>
      </c>
      <c r="B8" s="5" t="s">
        <v>1184</v>
      </c>
      <c r="C8" s="5" t="s">
        <v>1185</v>
      </c>
      <c r="D8" s="5" t="s">
        <v>1178</v>
      </c>
      <c r="I8" s="10">
        <v>3</v>
      </c>
      <c r="J8" s="10" t="e">
        <f t="shared" si="0"/>
        <v>#VALUE!</v>
      </c>
    </row>
    <row r="9" spans="1:10" ht="16">
      <c r="A9" s="5">
        <v>6</v>
      </c>
      <c r="B9" s="5" t="s">
        <v>1186</v>
      </c>
      <c r="C9" s="5" t="s">
        <v>1187</v>
      </c>
      <c r="D9" s="5" t="s">
        <v>1188</v>
      </c>
      <c r="I9" s="10">
        <v>2</v>
      </c>
      <c r="J9" s="10" t="e">
        <f t="shared" si="0"/>
        <v>#VALUE!</v>
      </c>
    </row>
    <row r="10" spans="1:10" ht="32">
      <c r="A10" s="5">
        <v>7</v>
      </c>
      <c r="B10" s="5" t="s">
        <v>1189</v>
      </c>
      <c r="C10" s="5" t="s">
        <v>1190</v>
      </c>
      <c r="D10" s="5" t="s">
        <v>1178</v>
      </c>
      <c r="I10" s="10">
        <v>3</v>
      </c>
      <c r="J10" s="10" t="e">
        <f t="shared" si="0"/>
        <v>#VALUE!</v>
      </c>
    </row>
    <row r="11" spans="1:10" ht="16">
      <c r="A11" s="5">
        <v>8</v>
      </c>
      <c r="B11" s="5" t="s">
        <v>1191</v>
      </c>
      <c r="C11" s="5" t="s">
        <v>1192</v>
      </c>
      <c r="D11" s="5" t="s">
        <v>1188</v>
      </c>
      <c r="I11" s="10">
        <v>2</v>
      </c>
      <c r="J11" s="10" t="e">
        <f t="shared" si="0"/>
        <v>#VALUE!</v>
      </c>
    </row>
    <row r="12" spans="1:10" ht="16">
      <c r="A12" s="5">
        <v>9</v>
      </c>
      <c r="B12" s="5" t="s">
        <v>1193</v>
      </c>
      <c r="C12" s="5" t="s">
        <v>1194</v>
      </c>
      <c r="D12" s="5" t="s">
        <v>1188</v>
      </c>
      <c r="I12" s="10">
        <v>2</v>
      </c>
      <c r="J12" s="10" t="e">
        <f t="shared" si="0"/>
        <v>#VALUE!</v>
      </c>
    </row>
    <row r="13" spans="1:10" ht="32">
      <c r="A13" s="5">
        <v>10</v>
      </c>
      <c r="B13" s="5" t="s">
        <v>1195</v>
      </c>
      <c r="C13" s="5" t="s">
        <v>1196</v>
      </c>
      <c r="D13" s="5" t="s">
        <v>1178</v>
      </c>
      <c r="I13" s="10">
        <v>3</v>
      </c>
      <c r="J13" s="10" t="e">
        <f t="shared" si="0"/>
        <v>#VALUE!</v>
      </c>
    </row>
    <row r="14" spans="1:10" ht="32">
      <c r="A14" s="5">
        <v>11</v>
      </c>
      <c r="B14" s="5" t="s">
        <v>1197</v>
      </c>
      <c r="C14" s="5" t="s">
        <v>1198</v>
      </c>
      <c r="D14" s="5" t="s">
        <v>1178</v>
      </c>
      <c r="I14" s="10">
        <v>3</v>
      </c>
      <c r="J14" s="10" t="e">
        <f t="shared" si="0"/>
        <v>#VALUE!</v>
      </c>
    </row>
    <row r="15" spans="1:10" ht="16">
      <c r="A15" s="5">
        <v>12</v>
      </c>
      <c r="B15" s="5" t="s">
        <v>1199</v>
      </c>
      <c r="C15" s="5" t="s">
        <v>1200</v>
      </c>
      <c r="D15" s="5" t="s">
        <v>1188</v>
      </c>
      <c r="I15" s="10">
        <v>2</v>
      </c>
      <c r="J15" s="10" t="e">
        <f t="shared" si="0"/>
        <v>#VALUE!</v>
      </c>
    </row>
    <row r="16" spans="1:10" ht="16">
      <c r="A16" s="5">
        <v>13</v>
      </c>
      <c r="B16" s="5" t="s">
        <v>1201</v>
      </c>
      <c r="D16" s="5" t="s">
        <v>1188</v>
      </c>
      <c r="I16" s="10">
        <v>2</v>
      </c>
      <c r="J16" s="10" t="e">
        <f t="shared" si="0"/>
        <v>#VALUE!</v>
      </c>
    </row>
    <row r="17" spans="1:12" ht="16">
      <c r="A17" s="5">
        <v>14</v>
      </c>
      <c r="B17" s="5" t="s">
        <v>1202</v>
      </c>
      <c r="D17" s="5" t="s">
        <v>1188</v>
      </c>
      <c r="I17" s="10">
        <v>2</v>
      </c>
      <c r="J17" s="10" t="e">
        <f t="shared" si="0"/>
        <v>#VALUE!</v>
      </c>
    </row>
    <row r="18" spans="1:12" ht="31.5" customHeight="1">
      <c r="G18" s="11" t="s">
        <v>1203</v>
      </c>
      <c r="H18" s="11"/>
      <c r="I18" s="622" t="s">
        <v>1204</v>
      </c>
      <c r="J18" s="622"/>
      <c r="K18" s="622"/>
      <c r="L18" s="622"/>
    </row>
    <row r="19" spans="1:12" s="8" customFormat="1" ht="15.75" customHeight="1">
      <c r="A19" s="620" t="s">
        <v>1205</v>
      </c>
      <c r="B19" s="620"/>
      <c r="C19" s="620"/>
      <c r="D19" s="6"/>
      <c r="I19" s="10"/>
      <c r="J19" s="10"/>
    </row>
    <row r="20" spans="1:12" ht="16">
      <c r="A20" s="15" t="s">
        <v>173</v>
      </c>
      <c r="B20" s="15" t="s">
        <v>1206</v>
      </c>
      <c r="C20" s="15" t="s">
        <v>1207</v>
      </c>
      <c r="D20" s="15" t="s">
        <v>1208</v>
      </c>
      <c r="E20" s="15" t="s">
        <v>1209</v>
      </c>
    </row>
    <row r="21" spans="1:12" ht="48">
      <c r="A21" s="29">
        <v>1</v>
      </c>
      <c r="B21" s="29" t="s">
        <v>1210</v>
      </c>
      <c r="C21" s="29" t="s">
        <v>1211</v>
      </c>
      <c r="D21" s="29" t="s">
        <v>1212</v>
      </c>
      <c r="E21" s="29"/>
      <c r="F21" s="29"/>
      <c r="G21" s="29"/>
      <c r="H21" s="29"/>
      <c r="I21" s="30"/>
      <c r="J21" s="30"/>
    </row>
    <row r="22" spans="1:12" ht="96">
      <c r="A22" s="29">
        <v>2</v>
      </c>
      <c r="B22" s="29" t="s">
        <v>1213</v>
      </c>
      <c r="C22" s="29" t="s">
        <v>1214</v>
      </c>
      <c r="D22" s="31" t="s">
        <v>1215</v>
      </c>
      <c r="E22" s="29"/>
      <c r="F22" s="29"/>
      <c r="G22" s="29"/>
      <c r="H22" s="29"/>
      <c r="I22" s="30"/>
      <c r="J22" s="30"/>
    </row>
    <row r="23" spans="1:12" ht="48">
      <c r="A23" s="29">
        <v>3</v>
      </c>
      <c r="B23" s="29" t="s">
        <v>1216</v>
      </c>
      <c r="C23" s="29" t="s">
        <v>1217</v>
      </c>
      <c r="D23" s="29" t="s">
        <v>1218</v>
      </c>
      <c r="E23" s="29"/>
      <c r="F23" s="29"/>
      <c r="G23" s="29"/>
      <c r="H23" s="29"/>
      <c r="I23" s="30"/>
      <c r="J23" s="30"/>
    </row>
    <row r="24" spans="1:12" ht="48">
      <c r="A24" s="29">
        <v>4</v>
      </c>
      <c r="B24" s="29" t="s">
        <v>1219</v>
      </c>
      <c r="C24" s="29" t="s">
        <v>1220</v>
      </c>
      <c r="D24" s="29" t="s">
        <v>1221</v>
      </c>
      <c r="E24" s="29"/>
      <c r="F24" s="29"/>
      <c r="G24" s="29"/>
      <c r="H24" s="29"/>
      <c r="I24" s="30"/>
      <c r="J24" s="30"/>
    </row>
    <row r="25" spans="1:12" ht="48">
      <c r="A25" s="29">
        <v>5</v>
      </c>
      <c r="B25" s="29" t="s">
        <v>1222</v>
      </c>
      <c r="C25" s="29" t="s">
        <v>1223</v>
      </c>
      <c r="D25" s="29" t="s">
        <v>1224</v>
      </c>
      <c r="E25" s="29"/>
      <c r="F25" s="29"/>
      <c r="G25" s="29"/>
      <c r="H25" s="29"/>
      <c r="I25" s="30"/>
      <c r="J25" s="30"/>
    </row>
    <row r="26" spans="1:12" ht="32">
      <c r="A26" s="29">
        <v>6</v>
      </c>
      <c r="B26" s="29" t="s">
        <v>1225</v>
      </c>
      <c r="C26" s="29" t="s">
        <v>1226</v>
      </c>
      <c r="D26" s="29" t="s">
        <v>1227</v>
      </c>
      <c r="E26" s="29"/>
      <c r="F26" s="29"/>
      <c r="G26" s="29"/>
      <c r="H26" s="29"/>
      <c r="I26" s="30"/>
      <c r="J26" s="30"/>
    </row>
    <row r="27" spans="1:12" ht="32">
      <c r="A27" s="29">
        <v>7</v>
      </c>
      <c r="B27" s="29" t="s">
        <v>1228</v>
      </c>
      <c r="C27" s="32" t="s">
        <v>1229</v>
      </c>
      <c r="D27" s="29"/>
      <c r="E27" s="29"/>
      <c r="F27" s="29"/>
      <c r="G27" s="29"/>
      <c r="H27" s="29"/>
      <c r="I27" s="33" t="s">
        <v>1230</v>
      </c>
      <c r="J27" s="30"/>
    </row>
    <row r="28" spans="1:12" ht="48">
      <c r="A28" s="29">
        <v>8</v>
      </c>
      <c r="B28" s="29" t="s">
        <v>1231</v>
      </c>
      <c r="C28" s="29" t="s">
        <v>1232</v>
      </c>
      <c r="D28" s="29" t="s">
        <v>1233</v>
      </c>
      <c r="E28" s="29"/>
      <c r="F28" s="29"/>
      <c r="G28" s="29"/>
      <c r="H28" s="29"/>
      <c r="I28" s="33" t="s">
        <v>1230</v>
      </c>
      <c r="J28" s="30"/>
    </row>
    <row r="29" spans="1:12" ht="32">
      <c r="A29" s="29">
        <v>9</v>
      </c>
      <c r="B29" s="31" t="s">
        <v>1234</v>
      </c>
      <c r="C29" s="31" t="s">
        <v>1235</v>
      </c>
      <c r="D29" s="29"/>
      <c r="E29" s="29"/>
      <c r="F29" s="29"/>
      <c r="G29" s="29"/>
      <c r="H29" s="29"/>
      <c r="I29" s="30"/>
      <c r="J29" s="30"/>
    </row>
    <row r="30" spans="1:12" ht="32">
      <c r="A30" s="29">
        <v>10</v>
      </c>
      <c r="B30" s="29" t="s">
        <v>1236</v>
      </c>
      <c r="C30" s="29" t="s">
        <v>1237</v>
      </c>
      <c r="D30" s="29" t="s">
        <v>1238</v>
      </c>
      <c r="E30" s="29"/>
      <c r="F30" s="29"/>
      <c r="G30" s="29"/>
      <c r="H30" s="29"/>
      <c r="I30" s="33" t="s">
        <v>1239</v>
      </c>
      <c r="J30" s="30"/>
    </row>
  </sheetData>
  <mergeCells count="4">
    <mergeCell ref="A2:C2"/>
    <mergeCell ref="A1:C1"/>
    <mergeCell ref="A19:C19"/>
    <mergeCell ref="I18:L18"/>
  </mergeCells>
  <dataValidations count="2">
    <dataValidation type="list" allowBlank="1" showInputMessage="1" showErrorMessage="1" sqref="H4:H17" xr:uid="{F549D619-19D9-460B-9321-B2D36233CFC8}">
      <formula1>"1- Not Exist, 2 - Incomplete, 3-Acceptable, 4-Good, 5-Excellent"</formula1>
    </dataValidation>
    <dataValidation allowBlank="1" showInputMessage="1" showErrorMessage="1" sqref="H18" xr:uid="{0BBCBB8C-2B2D-4114-A402-0B328872B248}"/>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8C368EB541C140B0C9D4493EB405CD" ma:contentTypeVersion="16" ma:contentTypeDescription="Create a new document." ma:contentTypeScope="" ma:versionID="a385d720b6dc3c4f6ecb024cf03e22e7">
  <xsd:schema xmlns:xsd="http://www.w3.org/2001/XMLSchema" xmlns:xs="http://www.w3.org/2001/XMLSchema" xmlns:p="http://schemas.microsoft.com/office/2006/metadata/properties" xmlns:ns2="3d1e8f55-36e0-4964-a186-c2ad4dfa035f" xmlns:ns3="25629cf5-af20-4ad7-b265-62f3092fe1fe" targetNamespace="http://schemas.microsoft.com/office/2006/metadata/properties" ma:root="true" ma:fieldsID="96323397a7ab9c6868859cc9f1aa4ec3" ns2:_="" ns3:_="">
    <xsd:import namespace="3d1e8f55-36e0-4964-a186-c2ad4dfa035f"/>
    <xsd:import namespace="25629cf5-af20-4ad7-b265-62f3092fe1f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1e8f55-36e0-4964-a186-c2ad4dfa0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774cfc4-41b8-4a26-a764-8313731c42bd"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629cf5-af20-4ad7-b265-62f3092fe1f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ff8c2c9-5f0f-4a94-bf91-2c4a6cde5641}" ma:internalName="TaxCatchAll" ma:showField="CatchAllData" ma:web="25629cf5-af20-4ad7-b265-62f3092fe1f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d1e8f55-36e0-4964-a186-c2ad4dfa035f">
      <Terms xmlns="http://schemas.microsoft.com/office/infopath/2007/PartnerControls"/>
    </lcf76f155ced4ddcb4097134ff3c332f>
    <TaxCatchAll xmlns="25629cf5-af20-4ad7-b265-62f3092fe1fe" xsi:nil="true"/>
  </documentManagement>
</p:properties>
</file>

<file path=customXml/itemProps1.xml><?xml version="1.0" encoding="utf-8"?>
<ds:datastoreItem xmlns:ds="http://schemas.openxmlformats.org/officeDocument/2006/customXml" ds:itemID="{62AF8748-999E-40C5-A5D4-8190040E57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1e8f55-36e0-4964-a186-c2ad4dfa035f"/>
    <ds:schemaRef ds:uri="25629cf5-af20-4ad7-b265-62f3092fe1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0DD9DA-491D-40F4-9275-A23C4FFAB26D}">
  <ds:schemaRefs>
    <ds:schemaRef ds:uri="http://schemas.microsoft.com/sharepoint/v3/contenttype/forms"/>
  </ds:schemaRefs>
</ds:datastoreItem>
</file>

<file path=customXml/itemProps3.xml><?xml version="1.0" encoding="utf-8"?>
<ds:datastoreItem xmlns:ds="http://schemas.openxmlformats.org/officeDocument/2006/customXml" ds:itemID="{E19B3A08-54CB-4889-95FB-62133F63D711}">
  <ds:schemaRefs>
    <ds:schemaRef ds:uri="http://schemas.microsoft.com/office/2006/metadata/properties"/>
    <ds:schemaRef ds:uri="http://schemas.microsoft.com/office/infopath/2007/PartnerControls"/>
    <ds:schemaRef ds:uri="3d1e8f55-36e0-4964-a186-c2ad4dfa035f"/>
    <ds:schemaRef ds:uri="25629cf5-af20-4ad7-b265-62f3092fe1f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Assessment guide</vt:lpstr>
      <vt:lpstr>General</vt:lpstr>
      <vt:lpstr>Resources</vt:lpstr>
      <vt:lpstr>Sys flow_Payroll</vt:lpstr>
      <vt:lpstr>Allowance Rule + Except</vt:lpstr>
      <vt:lpstr>Payroll structure</vt:lpstr>
      <vt:lpstr>Payroll Mar 2026</vt:lpstr>
      <vt:lpstr>Payslip template</vt:lpstr>
      <vt:lpstr>Master data</vt:lpstr>
      <vt:lpstr>Time Tracking Rule</vt:lpstr>
      <vt:lpstr>References</vt:lpstr>
      <vt:lpstr>Handover Prerequisites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Gold Rhinedottir</cp:lastModifiedBy>
  <cp:revision/>
  <dcterms:created xsi:type="dcterms:W3CDTF">2026-06-23T03:12:39Z</dcterms:created>
  <dcterms:modified xsi:type="dcterms:W3CDTF">2026-07-10T09:56:02Z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0x0101000C8C368EB541C140B0C9D4493EB405CD</vt:lpwstr>
  </property>
  <property fmtid="{D5CDD505-2E9C-101B-9397-08002B2CF9AE}" pid="3" name="MediaServiceImageTags">
    <vt:lpwstr/>
  </property>
  <property fmtid="{D5CDD505-2E9C-101B-9397-08002B2CF9AE}" pid="4" name="MSIP_Label_772f7d06-2691-4c01-acb5-0cdb22eb9dff_Enabled">
    <vt:lpwstr>true</vt:lpwstr>
  </property>
  <property fmtid="{D5CDD505-2E9C-101B-9397-08002B2CF9AE}" pid="5" name="MSIP_Label_772f7d06-2691-4c01-acb5-0cdb22eb9dff_SetDate">
    <vt:lpwstr>2026-06-24T04:28:13Z</vt:lpwstr>
  </property>
  <property fmtid="{D5CDD505-2E9C-101B-9397-08002B2CF9AE}" pid="6" name="MSIP_Label_772f7d06-2691-4c01-acb5-0cdb22eb9dff_Method">
    <vt:lpwstr>Standard</vt:lpwstr>
  </property>
  <property fmtid="{D5CDD505-2E9C-101B-9397-08002B2CF9AE}" pid="7" name="MSIP_Label_772f7d06-2691-4c01-acb5-0cdb22eb9dff_Name">
    <vt:lpwstr>defa4170-0d19-0005-0001-bc88714345d2</vt:lpwstr>
  </property>
  <property fmtid="{D5CDD505-2E9C-101B-9397-08002B2CF9AE}" pid="8" name="MSIP_Label_772f7d06-2691-4c01-acb5-0cdb22eb9dff_SiteId">
    <vt:lpwstr>afc21379-100b-463d-8325-cd1686ae94ca</vt:lpwstr>
  </property>
  <property fmtid="{D5CDD505-2E9C-101B-9397-08002B2CF9AE}" pid="9" name="MSIP_Label_772f7d06-2691-4c01-acb5-0cdb22eb9dff_ActionId">
    <vt:lpwstr>98751902-ce7c-4ecc-bdcd-3c0b8481ef34</vt:lpwstr>
  </property>
  <property fmtid="{D5CDD505-2E9C-101B-9397-08002B2CF9AE}" pid="10" name="MSIP_Label_772f7d06-2691-4c01-acb5-0cdb22eb9dff_ContentBits">
    <vt:lpwstr>0</vt:lpwstr>
  </property>
  <property fmtid="{D5CDD505-2E9C-101B-9397-08002B2CF9AE}" pid="11" name="MSIP_Label_772f7d06-2691-4c01-acb5-0cdb22eb9dff_Tag">
    <vt:lpwstr>10, 3, 0, 2</vt:lpwstr>
  </property>
</Properties>
</file>