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9"/>
  <workbookPr/>
  <xr:revisionPtr revIDLastSave="0" documentId="8_{7228CE0C-2127-49BF-99C5-15DF250C9DB4}" xr6:coauthVersionLast="47" xr6:coauthVersionMax="47" xr10:uidLastSave="{00000000-0000-0000-0000-000000000000}"/>
  <bookViews>
    <workbookView xWindow="0" yWindow="0" windowWidth="0" windowHeight="0" firstSheet="7" activeTab="7" xr2:uid="{00000000-000D-0000-FFFF-FFFF00000000}"/>
  </bookViews>
  <sheets>
    <sheet name="Changelog v1" sheetId="1" r:id="rId1"/>
    <sheet name="TC - Công thức tính lương" sheetId="2" r:id="rId2"/>
    <sheet name="Employee" sheetId="3" r:id="rId3"/>
    <sheet name="TC - UI, Tích hợp &amp; Báo cáo" sheetId="4" r:id="rId4"/>
    <sheet name="TC - UI Sửa công thức (Auto)" sheetId="5" r:id="rId5"/>
    <sheet name="TC - Performance" sheetId="6" r:id="rId6"/>
    <sheet name="TC - Security" sheetId="7" r:id="rId7"/>
    <sheet name="TC - UI Cơ bản &amp; Thao tác" sheetId="11" r:id="rId8"/>
    <sheet name="TC - Cấu hình &amp; Phân quyền" sheetId="13" r:id="rId9"/>
    <sheet name="Traceability Matrix" sheetId="8" r:id="rId10"/>
    <sheet name="Main step to calc Salary" sheetId="10"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3" l="1"/>
  <c r="L3" i="3" s="1"/>
</calcChain>
</file>

<file path=xl/sharedStrings.xml><?xml version="1.0" encoding="utf-8"?>
<sst xmlns="http://schemas.openxmlformats.org/spreadsheetml/2006/main" count="4358" uniqueCount="2119">
  <si>
    <t>CHANGELOG — v1 main plan</t>
  </si>
  <si>
    <t>Cập nhật bộ test case SIT theo Payroll_BRD_Tracker_Item (5).xlsx (26/08/2026) — rà soát toàn bộ 253 test case hiện có + bổ sung Performance &amp; Security. Thực hiện: 26/08/2026.</t>
  </si>
  <si>
    <t>Hạng mục</t>
  </si>
  <si>
    <t>Số lượng</t>
  </si>
  <si>
    <t>Chi tiết</t>
  </si>
  <si>
    <t>Fix nội dung — TC Công thức tính lương</t>
  </si>
  <si>
    <t>1</t>
  </si>
  <si>
    <t>TC-CT-051 (PERSONAL_DED): BRD mới xác nhận 'Thử việc không tính giảm trừ bản thân' — gỡ trạng thái 'cần làm rõ', chuyển thành defect thật (công thức production chưa phân nhánh theo Loại HĐ).</t>
  </si>
  <si>
    <t>Fix nội dung — TC UI/Tích hợp/Báo cáo</t>
  </si>
  <si>
    <t>7</t>
  </si>
  <si>
    <t>TC-TH-006, 015, 025, 026, 077, 078, 079 — cập nhật theo các câu trả lời/quyết định mới trong BRD (5): Mắt Bão tách 2 pháp nhân (BRD-08), bỏ thuật ngữ HRM/HRE (BRD-35), module ESS đi ngược quyết định đã chốt (BRD-45), phạm vi Audit Log (BRD-46), citation PRD (BRD-09), truy thu/versioning kỳ lương (BRD-37).</t>
  </si>
  <si>
    <t>Case mới — TC UI/Tích hợp/Báo cáo</t>
  </si>
  <si>
    <t>TC-TH-113: dialog ghi đè khi đồng bộ lại Workday (BRD-59).</t>
  </si>
  <si>
    <t>Case mới — TC UI Sửa công thức (Auto)</t>
  </si>
  <si>
    <t>2</t>
  </si>
  <si>
    <t>TC-AU-011, TC-AU-012: xác nhận Audit Log ghi đúng nội dung (không chỉ UI dialog) sau khi sửa công thức/tên cột (BRD-46).</t>
  </si>
  <si>
    <t>Sheet mới — TC - Performance</t>
  </si>
  <si>
    <t>20</t>
  </si>
  <si>
    <t>TC-PF-001..020 — hiệu năng đồng bộ Workday/SAP, Payroll Engine, phê duyệt đồng thời, import BHXH, báo cáo/dashboard, xuất ngân hàng, load cao điểm.</t>
  </si>
  <si>
    <t>Sheet mới — TC - Security</t>
  </si>
  <si>
    <t>25</t>
  </si>
  <si>
    <t>TC-SEC-001..025 — SSO/session, RBAC &amp; privilege escalation, ẩn dữ liệu công trường/pháp nhân, Audit Log immutability, input validation/injection, file upload, PII export, API bypass.</t>
  </si>
  <si>
    <t>Risk Register</t>
  </si>
  <si>
    <t>+6 (R60-R65)</t>
  </si>
  <si>
    <t>Rủi ro mới phát hiện qua quá trình soạn Performance/Security: thiếu SLA hiệu năng, ma trận RBAC chưa chốt, mâu thuẫn BRD-45/32, Audit Log chưa xác nhận immutable, mã hoá dữ liệu nhạy cảm chưa xác nhận, chưa test injection/upload.</t>
  </si>
  <si>
    <t>Traceability Matrix</t>
  </si>
  <si>
    <t>25 dòng BRD</t>
  </si>
  <si>
    <t>Cập nhật thêm tham chiếu TC-PF/TC-SEC mới vào các dòng BRD liên quan (BRD-01,02,03,04,08,32,34,35,38,41-48,71,74,78,80,87,94-96).</t>
  </si>
  <si>
    <t>Không đổi:</t>
  </si>
  <si>
    <t>Coverage BRD-ID đã đạt 100% (BRD-01..96, trừ BRD-52 không tồn tại) từ trước khi audit — 246/253 test case gốc đối chiếu khớp đúng BRD (5), không có căn cứ để sửa nên giữ nguyên.</t>
  </si>
  <si>
    <t>Cập nhật 04/09/2026 — rà soát coverage TC Công thức tính lương đối chiếu Payroll_BRD_Tracker_Item (6).xlsx (sheet Functions_Approval, Payroll structure, Payroll template)</t>
  </si>
  <si>
    <t>Case mới — TC Công thức tính lương</t>
  </si>
  <si>
    <t>TC-CT-132, TC-CT-133 (PC nhà ở - LIVING_ALLOW/LIVING_NONTAX - cộng đúng vào GROSS, NONTAX trừ đúng khỏi TAXABLE_GROSS, PASS); TC-CT-134, TC-CT-135 (PC Khác - OTHER_ALLOW_TAX/OTHER_ALLOW_NONTAX - tương tự, PASS); TC-CT-136 (CONS_ALLOW - Phụ cấp công trình - đã Signoff nhưng KHÔNG có công thức nào tham chiếu tới, gap mới, BLOCK). Phát hiện qua đối chiếu chéo 3 nguồn: Payroll template (dòng lương thật trên phiếu lương) vs Payroll structure (127 mã biến) vs TC-CT hiện có — cả 5 code này đã Signoff/xuất hiện trên phiếu lương thật nhưng trước đó chưa có TC riêng.</t>
  </si>
  <si>
    <t>Case mới — TC Công thức tính lương (vòng đời nhân viên)</t>
  </si>
  <si>
    <t>TC-CT-137..141: on-board đầu kỳ (PASS), on-board giữa kỳ (PASS), nghỉ việc giữa kỳ (PASS), nghỉ việc đúng ngày cuối kỳ (boundary off-by-one, BLOCK), on-board+nghỉ việc CÙNG kỳ (BLOCK). TC-CT-142: tăng Level giữa kỳ (gap mới — không có mã biến LEVEL, BLOCK). TC-CT-143: tăng phụ cấp giữa kỳ (gap mới — input phụ cấp không có cơ chế 2 giai đoạn như BASIC_SAL, BLOCK). TC-CT-144/145: nghỉ việc còn phép tồn (PASS) / hết phép tồn (boundary =0, PASS). TC-CT-146/147: nhiều người phụ thuộc 4 người (PASS) / đăng ký-hủy người phụ thuộc giữa kỳ (gap mới — DEPENDENT_CNT không có ngày hiệu lực, BLOCK). Bổ sung theo yêu cầu user 04/09/2026: liệt kê thiếu case on-board/tăng level/tăng phụ cấp/nghỉ việc giữa-cuối kỳ/on-board+nghỉ việc cùng kỳ/nhiều người phụ thuộc/nghỉ việc còn-hết phép tồn.</t>
  </si>
  <si>
    <t>3 Sheet mới — TC UI Cơ bản, TC Báo cáo, TC Cấu hình &amp; Phân quyền</t>
  </si>
  <si>
    <t>Đối chiếu sheet 'Function List' (89 dòng, Payroll CTD - Plan (1).xlsx) với toàn bộ test case hiện có (317 TC) theo yêu cầu user 04/09/2026 — phát hiện nhiều function UI thật chưa có TC nào cover dù BRD dùng chung đã có TC (test công thức, không test đúng UI/report/CRUD). Sheet 'TC - UI Cơ bản &amp; Thao tác' (TC-UI-001..009): Thêm cột công thức (2 TC, liên quan gap TC-TH-107), Mở/Lưu x4, Trường báo cáo, Thông tin hỗ trợ, Lưu Bảng công (chưa khả dụng). Sheet 'TC - Báo cáo (Reports)' (TC-RP-001..015): toàn bộ 15 report trong menu Báo cáo — trước đó chỉ được nhắc tên phụ trong TC khác, chưa có TC nào mở report và đối chiếu số liệu thật; 2 report (Tính tăng ca+phụ cấp tháng, BHXH tổng hợp) chưa từng được nhắc tên ở đâu. Sheet 'TC - Cấu hình &amp; Phân quyền' (TC-CFG-001..009): CRUD Kỳ lương/Bảo hiểm&amp;Thuế/Ngày lễ/Cấp bậc NV/Hồi tố lương/Loại ngày nghỉ, và Gán quyền NV/Ma trận theo User/Rà soát quyền. Toàn bộ 33 TC đều Status='Chưa chạy' (chưa có bằng chứng thực thi), cần Functional/QE chạy thật trên UI khi có môi trường.</t>
  </si>
  <si>
    <t>Bổ sung sheet mới — TC Bảng công &amp; Phụ cấp</t>
  </si>
  <si>
    <t>Đưa 49 TC từ file 'Testcase-bangcong-phucap (7).xlsx' vào main plan thành sheet 'TC - Bảng công &amp; Phụ cấp' (theo yêu cầu 07/09/2026), giữ nguyên văn phong HR-friendly + kết quả Status/Result đã ghi nhận. Đã đối chiếu 23 persona dùng trong các TC này với dữ liệu thật trên STG kỳ lương 09/2026 (07/09/2026): 19/23 còn tồn tại và khớp; 4/23 KHÔNG còn tìm thấy (103460, IC0096, 005693, 006347) khiến 4 TC tương ứng (TC-BC-004, TC-BC-009, TC-BC-027, TC-BC-028) hiện không có persona hợp lệ để chạy. Status UT/Actual (UT) đánh N/A vì đây là TC kiểm tra UI, không chạy qua FormulaEngine harness.</t>
  </si>
  <si>
    <t>Viết lại văn phong toàn bộ test case — dễ hiểu cho HR</t>
  </si>
  <si>
    <t>Viết lại 4 trường Test Case Description / Test Data (Preparation + Data) / Test Steps / Expected Result cho 350 TC trên 8 sheet còn lại (TC-CT 147, TC-TH 113, TC-UI Sửa công thức 12, TC-Performance 20, TC-Security 25, TC-UI Cơ bản 9, TC-Báo cáo 15, TC-Cấu hình 9) sang văn phong dễ hiểu cho người dùng cuối không rành kỹ thuật (đặc biệt HR), theo yêu cầu 07/09/2026 — cùng cách làm đã áp dụng cho sheet 'TC - Bảng công &amp; Phụ cấp'. Test Steps đánh số 1,2,3...; Test Data dùng câu văn xuôi cụ thể (với TC-CT/TC-TH/TC-Performance/TC-Security/... không gắn nhân viên thật, dùng nhân viên minh hoạ có gắn nhãn [VÍ DỤ MINH HOẠ]); thuật ngữ kỹ thuật (mã biến, route API, tên bảng DB, HTTP status...) được thay bằng ngôn ngữ nghiệp vụ, tra cứu tên tiếng Việt qua danh sách 148 mã biến lương (salary_components) khi cần. TUYỆT ĐỐI giữ nguyên số liệu, công thức và kết luận PASS/FAIL/GAP/BLOCK gốc — chỉ diễn đạt lại câu chữ. Các dòng vốn là rà soát tài liệu/công thức nội bộ (không phải thao tác UI) được ghi chú rõ để người đọc không nhầm là bước thao tác trên hệ thống. Cột PIC/Status/Result/Test Basis/Test Type/Priority/Severity/Defect Info/Executed By/Status UT/Actual (UT) giữ nguyên, không chỉnh sửa.</t>
  </si>
  <si>
    <t>Viết lại văn phong cột Actual Result — dễ hiểu cho HR</t>
  </si>
  <si>
    <t>Viết lại cột Actual Result (kết quả thực tế QA đã ghi nhận) cho 302 TC có nội dung (trên 6 sheet: TC-CT 147, TC-TH 112, TC-AU 10, TC-UI 9, TC-RP 15, TC-CFG 9 — Performance/Security/Bảng công&amp;Phụ cấp không có nội dung để viết lại) sang văn phong dễ hiểu cho người dùng cuối không rành kỹ thuật, theo yêu cầu 07/09/2026. TUYỆT ĐỐI giữ nguyên 100% kết luận kỹ thuật gốc (PASS/FAIL/BLOCK/GAP/chưa chạy) — chỉ diễn đạt lại câu chữ, loại bỏ mã biến/route API/tên bảng DB, dịch mã biến sang tên tiếng Việt qua danh sách 148 mã lương khi có thể; chi tiết kỹ thuật gốc (công thức, mã biến) được giữ lại trong ngoặc '(Kỹ thuật: ...)' ở cuối câu để vẫn đối chiếu được khi cần. Cột Status/Result/PIC và các cột khác giữ nguyên, không chỉnh sửa.</t>
  </si>
  <si>
    <t>Thêm cột Status SIT/Actual SIT — test qua UI thật trên STG</t>
  </si>
  <si>
    <t>Thêm 2 cột 'Status SIT'/'Actual SIT' vào sheet TC - Công thức tính lương và test qua UI thật trên STG (https://tingtingstage.coteccons.vn/payroll, kỳ lương 09/2026, 07/09/2026) — khác với Status UT (chạy qua FormulaEngine local dev), SIT dùng dữ liệu nhân viên THẬT trên STG qua thao tác Ctrl+F tìm mã NV + đọc Bảng lương. Kết quả: 32 PASS_SIT (xác nhận đúng công thức bằng số liệu thật, nhiều case khớp chính xác tuyệt đối), 10 FAIL_SIT (phát hiện/củng cố sai lệch thật), 2 Cần làm rõ, 103 N/A (không tìm được nhân viên thật khớp kịch bản giả định trong thời gian hợp lý — phần lớn do các TC dùng số liệu tổng hợp/biên giới chính xác không tồn tại tự nhiên trong dữ liệu thật). PHÁT HIỆN QUAN TRỌNG NHẤT: môi trường STG đang áp dụng biểu thuế TNCN 7 bậc theo đúng Luật hiện hành (không phải bảng 5 mức 10/30/60/100tr mà nhóm TC Thuế TNCN giả định) — xem chi tiết TC-CT-065. Các phát hiện khác: BHTN không miễn trừ đúng cho người nước ngoài (TC-CT-029/046/077); 'Lương phép tồn' luôn = 0 bất kể ngày phép tồn (TC-CT-013/017/144); trần miễn thuế tiền ăn thật = 730.000đ không phải 1.200.000đ (củng cố TC-CT-023/024/025/111); công thức tỷ lệ theo ngày công, trần BHXH/BHYT/BHTN, giảm trừ gia cảnh, các phép cộng GROSS/TAXABLE_GROSS/NET đều khớp chính xác với dữ liệu thật.</t>
  </si>
  <si>
    <t>Test Case ID</t>
  </si>
  <si>
    <t>Test Case Description</t>
  </si>
  <si>
    <t>Test Data</t>
  </si>
  <si>
    <t>Test Steps</t>
  </si>
  <si>
    <t>Expected Result</t>
  </si>
  <si>
    <t>PIC</t>
  </si>
  <si>
    <t>Status SIT</t>
  </si>
  <si>
    <t>Result</t>
  </si>
  <si>
    <t>Test Type</t>
  </si>
  <si>
    <t>Priority</t>
  </si>
  <si>
    <t>Severity</t>
  </si>
  <si>
    <t>Executed By / Date</t>
  </si>
  <si>
    <t>Status UT</t>
  </si>
  <si>
    <t>Actual (UT)</t>
  </si>
  <si>
    <t>Status: trạng thái ngắn (Đạt/Không đạt/Cần làm rõ/Chưa chạy). Result: PASS/FAIL/BLOCK (để trống nếu chưa chạy). Actual Result: diễn giải/quan sát thực tế. PIC: người thực hiện. Priority: P0=bắt buộc nền tảng · P1=bắt buộc trước go-live · P2=nên chạy · P3=có thể chạy sau. Severity: Critical=sai tiền lương/thuế/BHXH hoặc vi phạm pháp luật · High=chặn quy trình/rủi ro bảo mật-audit nghiêm trọng · Medium=lỗi phạm vi hẹp · Low=chỉ ảnh hưởng hiển thị.</t>
  </si>
  <si>
    <t>◆ 01 · Chấm công &amp; ngày công hưởng lương</t>
  </si>
  <si>
    <t>TC-CT-001</t>
  </si>
  <si>
    <t>[Chấm công &amp; ngày công hưởng lương] Kiểm tra hệ thống tính đúng Tổng ngày làm việc hưởng lương cho nhân viên có hợp đồng Chính thức.</t>
  </si>
  <si>
    <t>[VÍ DỤ MINH HOẠ] Nhân viên Nguyễn Văn A — Loại hợp đồng: Chính thức. Trong kỳ lương có: 22 ngày công chính thức, 1 ngày nghỉ lễ/tết, 1 ngày nghỉ phép năm, không có ngày nghỉ bù, nghỉ chế độ có lương, nghỉ chế độ BHXH, hay ngày công điều chỉnh nào khác.</t>
  </si>
  <si>
    <t>1. Nhập dữ liệu chấm công cho nhân viên theo đúng số liệu ở Test Data.
2. Chạy tính lương (hoặc để hệ thống tự tính) để ra Tổng ngày làm việc hưởng lương.
3. Kiểm tra kết quả Tổng ngày làm việc hưởng lương hiển thị trên hệ thống.</t>
  </si>
  <si>
    <t>Hệ thống tính đúng Tổng ngày làm việc hưởng lương = 24 ngày (bằng tổng 22 ngày công chính thức + 1 ngày lễ/tết + 1 ngày phép năm)</t>
  </si>
  <si>
    <t>PASS_SIT</t>
  </si>
  <si>
    <t>Positive</t>
  </si>
  <si>
    <t>P0</t>
  </si>
  <si>
    <t>Critical</t>
  </si>
  <si>
    <t>PASS_UT</t>
  </si>
  <si>
    <t>PAID_DAYS=24</t>
  </si>
  <si>
    <t>TC-CT-002</t>
  </si>
  <si>
    <t>[Chấm công &amp; ngày công hưởng lương] Kiểm tra hệ thống tính đúng Tổng ngày làm việc hưởng lương cho nhân viên có hợp đồng Thử việc (trường hợp khác với nhân viên Chính thức).</t>
  </si>
  <si>
    <t>[VÍ DỤ MINH HOẠ] Nhân viên Trần Thị B — Loại hợp đồng: Thử việc. Trong kỳ lương có: 18 ngày công thử việc, chưa có ngày công chính thức nào, 1 ngày nghỉ lễ/tết, không có ngày nghỉ phép năm, nghỉ bù, nghỉ chế độ có lương, nghỉ chế độ BHXH, hay ngày công điều chỉnh nào khác.</t>
  </si>
  <si>
    <t>1. Nhập dữ liệu chấm công cho nhân viên Trần Thị B theo đúng số liệu ở Test Data, với Loại hợp đồng = Thử việc.
2. Chạy tính lương (hoặc để hệ thống tự tính).
3. Kiểm tra kết quả Tổng ngày làm việc hưởng lương hiển thị trên hệ thống.</t>
  </si>
  <si>
    <t>Hệ thống tính đúng Tổng ngày làm việc hưởng lương = 19 ngày (bằng 18 ngày công thử việc + 1 ngày lễ/tết)</t>
  </si>
  <si>
    <t>N/A</t>
  </si>
  <si>
    <t>PAID_DAYS=19</t>
  </si>
  <si>
    <t>TC-CT-003</t>
  </si>
  <si>
    <t>[Chấm công &amp; ngày công hưởng lương] Kiểm tra công thức tính Tổng ngày làm việc hưởng lương có xử lý đúng hay không khi một nhân viên chuyển từ Thử việc sang Chính thức NGAY TRONG kỳ chấm công (chưa hết tháng đã chuyển loại hợp đồng).</t>
  </si>
  <si>
    <t>[VÍ DỤ MINH HOẠ] Nhân viên Lê Văn C trong kỳ lương có: 10 ngày công thử việc và 12 ngày công chính thức (do đổi loại hợp đồng giữa kỳ). Tại thời điểm chốt lương, Loại hợp đồng ghi nhận là Chính thức.</t>
  </si>
  <si>
    <t>1. Nhập dữ liệu chấm công cho nhân viên Lê Văn C theo đúng số liệu ở Test Data (có cả ngày công thử việc và ngày công chính thức).
2. Chạy tính lương với Loại hợp đồng hiện tại = Chính thức.
3. Kiểm tra kết quả Tổng ngày làm việc hưởng lương mà hệ thống tính ra.</t>
  </si>
  <si>
    <t>Đây là trường hợp CẦN bộ phận Nghiệp vụ (Functional) xác nhận thêm: công thức hiện tại chỉ chọn MỘT trong hai loại ngày công theo Loại hợp đồng tại thời điểm chốt lương, nên nếu hệ thống chỉ lấy 12 ngày công chính thức thì 10 ngày công thử việc sẽ bị bỏ sót, không được tính vào Tổng ngày làm việc hưởng lương. Chưa có kết luận PASS/FAIL — cần làm rõ quy tắc nghiệp vụ cho trường hợp chuyển đổi loại hợp đồng giữa kỳ trước khi kết luận.</t>
  </si>
  <si>
    <t>Branch</t>
  </si>
  <si>
    <t>P1</t>
  </si>
  <si>
    <t>PAID_DAYS=12</t>
  </si>
  <si>
    <t>TC-CT-004</t>
  </si>
  <si>
    <t>[Chấm công &amp; ngày công hưởng lương] Rà soát tài liệu công thức nội bộ để kiểm tra chỉ số Tổng ngày công thực tế có bị thiếu công thức tính hay không, vì chỉ số này được dùng gián tiếp khi tính Tổng thu nhập trong tháng.</t>
  </si>
  <si>
    <t>Không áp dụng (đây là bước rà soát tài liệu/công thức, không nhập dữ liệu chấm công thực tế).</t>
  </si>
  <si>
    <t>Đây là bước kiểm tra đối chiếu tài liệu/công thức nội bộ, KHÔNG phải thao tác trên hệ thống:
1. Rà soát toàn bộ chuỗi công thức tính, từ chỉ số Tổng ngày công thực tế cho đến Tổng ngày làm việc hưởng lương.
2. Kiểm tra xem chỉ số Tổng ngày công thực tế có công thức tính rõ ràng ở tài liệu không.</t>
  </si>
  <si>
    <t>Ghi nhận một khoảng trống (gap) trong tài liệu: chỉ số Tổng ngày công thực tế hiện chưa có công thức tính rõ ràng ở cả phiên bản công thức 'hiện tại' lẫn phiên bản 'đã chuẩn hoá theo biến'. Cần bộ phận Nghiệp vụ (Functional) bổ sung công thức cho chỉ số này trước khi xem giai đoạn (Phase 1) rà soát công thức của module này là hoàn tất.</t>
  </si>
  <si>
    <t>Negative</t>
  </si>
  <si>
    <t>P2</t>
  </si>
  <si>
    <t>Không chạy được qua engine thật — Test Data rỗng hoặc '—' — không có input số cụ thể để chạy</t>
  </si>
  <si>
    <t>◆ 02 · Lương cơ bản &amp; lương thực tế trong tháng</t>
  </si>
  <si>
    <t>TC-CT-005</t>
  </si>
  <si>
    <t>[Lương cơ bản &amp; lương thực tế trong tháng] Kiểm tra hệ thống cộng đúng Tổng lương trên hợp đồng lao động (HĐLĐ) cho nhân viên Chính thức có thêm phụ cấp trách nhiệm.</t>
  </si>
  <si>
    <t>[VÍ DỤ MINH HOẠ] Nhân viên Nguyễn Văn A có mức lương chính thức (100%) là 20.000.000đ và phụ cấp trách nhiệm là 2.000.000đ.</t>
  </si>
  <si>
    <t>1. Nhập lương chính thức và phụ cấp trách nhiệm cho nhân viên theo đúng số liệu ở Test Data.
2. Chạy tính lương (hoặc để hệ thống tự tính).
3. Kiểm tra kết quả Tổng lương trên HĐLĐ hiển thị trên hệ thống.</t>
  </si>
  <si>
    <t>Hệ thống tính đúng Tổng lương trên HĐLĐ = 22.000.000đ (bằng 20.000.000đ lương chính thức cộng 2.000.000đ phụ cấp trách nhiệm).</t>
  </si>
  <si>
    <t>CONTRACT_TOTAL=22,000,000</t>
  </si>
  <si>
    <t>TC-CT-006</t>
  </si>
  <si>
    <t>[Lương cơ bản &amp; lương thực tế trong tháng] Kiểm tra Tổng lương trên HĐLĐ của nhân viên Thử việc KHÔNG được cộng thêm phụ cấp trách nhiệm.</t>
  </si>
  <si>
    <t>[VÍ DỤ MINH HOẠ] Nhân viên Trần Thị B có mức lương thử việc (85%) là 17.000.000đ (tương đương 85% của mức lương chính thức 20 triệu). Giả sử có nhập nhầm thêm phụ cấp trách nhiệm 2.000.000đ vào hồ sơ.</t>
  </si>
  <si>
    <t>1. Nhập dữ liệu lương cho nhân viên Trần Thị B theo đúng số liệu ở Test Data, với Loại hợp đồng = Thử việc.
2. Chạy tính lương (hoặc để hệ thống tự tính).
3. Kiểm tra kết quả Tổng lương trên HĐLĐ hiển thị trên hệ thống.</t>
  </si>
  <si>
    <t>Hệ thống tính đúng Tổng lương trên HĐLĐ = 17.000.000đ, bằng đúng lương thử việc (85%), xác nhận phụ cấp trách nhiệm KHÔNG được cộng vào khi nhân viên đang ở diện Thử việc. Đây là điểm khác biệt so với phiên bản công thức cũ ('hiện tại') — bộ phận rà soát tài liệu đã ghi nhận sự khác nhau này giữa 2 phiên bản công thức.</t>
  </si>
  <si>
    <t>CONTRACT_TOTAL=17,000,000</t>
  </si>
  <si>
    <t>TC-CT-007</t>
  </si>
  <si>
    <t>[Lương cơ bản &amp; lương thực tế trong tháng] Kiểm tra mức lương thử việc (85%) được nhập/tính đúng bằng 85% của mức lương chính thức (100%) theo đúng quy định thử việc.</t>
  </si>
  <si>
    <t>[VÍ DỤ MINH HOẠ] Nhân viên Trần Thị B có mức lương chính thức (100%) là 20.000.000đ (dùng làm căn cứ tính mức lương thử việc).</t>
  </si>
  <si>
    <t>1. Nhập mức lương chính thức (100%) cho nhân viên theo Test Data.
2. Kiểm tra giá trị lương thử việc (85%) mà hệ thống nhập hoặc tự tính ra, có đúng bằng 20.000.000đ × 85% hay không.</t>
  </si>
  <si>
    <t>Mức lương thử việc (85%) phải đúng bằng 17.000.000đ. Nếu hệ thống cho phép nhập tay một giá trị khác tỷ lệ 85% quy định, cần cảnh báo đây là trường hợp lệch quy định thử việc.</t>
  </si>
  <si>
    <t>Boundary</t>
  </si>
  <si>
    <t>TC-CT-008</t>
  </si>
  <si>
    <t>[Lương cơ bản &amp; lương thực tế trong tháng] Kiểm tra Lương thử việc thực nhận được tính đúng theo số ngày công thực tế và có làm tròn số đúng quy định.</t>
  </si>
  <si>
    <t>[VÍ DỤ MINH HOẠ] Nhân viên Trần Thị B có mức lương thử việc (85%) là 17.000.000đ, và trong kỳ lương có Tổng ngày làm việc hưởng lương là 19 ngày (trên tổng 26 ngày công chuẩn).</t>
  </si>
  <si>
    <t>1. Nhập dữ liệu lương thử việc và ngày công theo Test Data.
2. Chạy tính lương (hoặc để hệ thống tự tính).
3. Kiểm tra kết quả Lương thử việc hiển thị trên hệ thống (được tính bằng lương thử việc chia cho ngày công chuẩn rồi nhân với số ngày làm việc hưởng lương, sau đó làm tròn về số nguyên).</t>
  </si>
  <si>
    <t>Hệ thống tính đúng Lương thử việc = 12.423.077đ (lấy 17.000.000đ chia 26 ngày công chuẩn ra 653.846,15đ/ngày, nhân với 19 ngày làm việc hưởng lương ra 12.423.076,92đ, làm tròn thành 12.423.077đ).</t>
  </si>
  <si>
    <t>PROB_EARNED=12,423,077</t>
  </si>
  <si>
    <t>TC-CT-009</t>
  </si>
  <si>
    <t>[Lương cơ bản &amp; lương thực tế trong tháng] Kiểm tra Lương thử việc luôn bằng 0 khi nhân viên có Loại hợp đồng là Chính thức.</t>
  </si>
  <si>
    <t>[VÍ DỤ MINH HOẠ] Nhân viên Nguyễn Văn A dù ô lương thử việc (85%) có để trống, bằng 0 hay có nhập một giá trị bất kỳ, và Tổng ngày làm việc hưởng lương trong kỳ là 24 ngày.</t>
  </si>
  <si>
    <t>1. Nhập dữ liệu cho nhân viên theo Test Data, với Loại hợp đồng = Chính thức.
2. Chạy tính lương (hoặc để hệ thống tự tính).
3. Kiểm tra kết quả Lương thử việc hiển thị trên hệ thống.</t>
  </si>
  <si>
    <t>Hệ thống phải trả kết quả Lương thử việc = 0, bất kể số Tổng ngày làm việc hưởng lương là bao nhiêu, vì nhân viên đang ở diện Chính thức.</t>
  </si>
  <si>
    <t>PROB_EARNED=0</t>
  </si>
  <si>
    <t>TC-CT-010</t>
  </si>
  <si>
    <t>[Lương cơ bản &amp; lương thực tế trong tháng] Kiểm tra Lương chính thức thực nhận được tính đúng theo số ngày công thực tế và có làm tròn số đúng quy định.</t>
  </si>
  <si>
    <t>[VÍ DỤ MINH HOẠ] Nhân viên Nguyễn Văn A có mức lương chính thức (100%) là 20.000.000đ, và trong kỳ lương có Tổng ngày làm việc hưởng lương là 24 ngày (trên tổng 26 ngày công chuẩn).</t>
  </si>
  <si>
    <t>1. Nhập dữ liệu lương chính thức và ngày công theo Test Data.
2. Chạy tính lương (hoặc để hệ thống tự tính).
3. Kiểm tra kết quả Lương chính thức hiển thị trên hệ thống (được tính bằng lương chính thức chia cho ngày công chuẩn rồi nhân với số ngày làm việc hưởng lương, sau đó làm tròn về số nguyên).</t>
  </si>
  <si>
    <t>Hệ thống tính đúng Lương chính thức = 18.461.538đ (lấy 20.000.000đ chia 26 ngày công chuẩn ra 769.230,77đ/ngày, nhân với 24 ngày làm việc hưởng lương ra 18.461.538,46đ, làm tròn thành 18.461.538đ).</t>
  </si>
  <si>
    <t>OFFICIAL_EARNED=18,461,538</t>
  </si>
  <si>
    <t>TC-CT-011</t>
  </si>
  <si>
    <t>[Lương cơ bản &amp; lương thực tế trong tháng] Kiểm tra Phụ cấp trách nhiệm (thực tế) được tính đúng theo tỷ lệ ngày công thực tế trong kỳ.</t>
  </si>
  <si>
    <t>[VÍ DỤ MINH HOẠ] Nhân viên Nguyễn Văn A có mức phụ cấp trách nhiệm là 2.000.000đ, và trong kỳ lương có Tổng ngày làm việc hưởng lương là 24 ngày (trên tổng 26 ngày công chuẩn).</t>
  </si>
  <si>
    <t>1. Nhập dữ liệu phụ cấp trách nhiệm và ngày công theo Test Data.
2. Chạy tính lương (hoặc để hệ thống tự tính).
3. Kiểm tra kết quả Phụ cấp trách nhiệm (thực tế) hiển thị trên hệ thống (được tính bằng số ngày làm việc hưởng lương nhân với mức phụ cấp trách nhiệm, chia cho ngày công chuẩn, sau đó làm tròn về số nguyên).</t>
  </si>
  <si>
    <t>Hệ thống tính đúng Phụ cấp trách nhiệm (thực tế) = 1.846.154đ (24 ngày × 2.000.000đ ÷ 26 ngày = 1.846.153,85đ, làm tròn thành 1.846.154đ).</t>
  </si>
  <si>
    <t>RESP_EARNED=1,846,154</t>
  </si>
  <si>
    <t>TC-CT-012</t>
  </si>
  <si>
    <t>[Lương cơ bản &amp; lương thực tế trong tháng] Kiểm tra Tổng lương thực tế trong tháng cộng đúng đủ 4 thành phần, đồng thời đối chiếu để phát hiện khác biệt giữa công thức cũ ('hiện tại') và công thức mới (đã chuẩn hoá theo biến).</t>
  </si>
  <si>
    <t>[VÍ DỤ MINH HOẠ] Nhân viên Nguyễn Văn A trong kỳ lương có: Lương chính thức 18.461.538đ, Lương thử việc 0đ, Phụ cấp trách nhiệm (thực tế) 1.846.154đ, và Lương phép tồn 500.000đ.</t>
  </si>
  <si>
    <t>1. Nhập dữ liệu 4 thành phần lương theo Test Data.
2. Chạy tính lương theo công thức mới (đã chuẩn hoá theo biến), kiểm tra kết quả Tổng lương thực tế trong tháng.
3. So sánh kết quả trên với kết quả nếu hệ thống chạy theo công thức cũ ('hiện tại' — chỉ cộng 3 thành phần, KHÔNG cộng Lương phép tồn).</t>
  </si>
  <si>
    <t>Theo công thức đúng (đã chuẩn hoá): Tổng lương thực tế trong tháng = 18.461.538 + 0 + 1.846.154 + 500.000 = 20.807.692đ. Nếu hệ thống vẫn đang chạy công thức CŨ, chưa cập nhật, kết quả sẽ SAI, chỉ ra 20.307.692đ (thiếu mất 500.000đ) — vì công thức cũ không cộng thêm Lương phép tồn. Cần đảm bảo hệ thống đang áp dụng đúng công thức mới để không bị thiếu 500.000đ này.</t>
  </si>
  <si>
    <t>Cần làm rõ</t>
  </si>
  <si>
    <t>EARNED_SAL=20,807,692</t>
  </si>
  <si>
    <t>TC-CT-013</t>
  </si>
  <si>
    <t>[Lương cơ bản &amp; lương thực tế trong tháng] Kiểm tra Lương phép tồn (tiền quy đổi từ ngày phép năm chưa nghỉ hết) được tính đúng cho nhân viên Chính thức.</t>
  </si>
  <si>
    <t>[VÍ DỤ MINH HOẠ] Nhân viên Nguyễn Văn A còn tồn 2 ngày phép năm chưa nghỉ, và có mức lương chính thức (100%) là 20.000.000đ.</t>
  </si>
  <si>
    <t>1. Nhập số ngày phép năm còn tồn và mức lương chính thức theo Test Data.
2. Chạy tính lương (hoặc để hệ thống tự tính).
3. Kiểm tra kết quả Lương phép tồn hiển thị trên hệ thống (được tính bằng số ngày phép còn tồn chia cho ngày công chuẩn, nhân với lương chính thức, sau đó làm tròn về số nguyên).</t>
  </si>
  <si>
    <t>Hệ thống tính đúng Lương phép tồn = 1.538.462đ (2 ngày ÷ 26 ngày công chuẩn × 20.000.000đ = 1.538.461,5đ, làm tròn thành 1.538.462đ).</t>
  </si>
  <si>
    <t>EARNED_PAID_LEAVE=1,538,462</t>
  </si>
  <si>
    <t>TC-CT-014</t>
  </si>
  <si>
    <t>[Lương cơ bản &amp; lương thực tế trong tháng] Kiểm tra Lương phép tồn luôn bằng 0 đối với nhân viên Thử việc, vì nhân viên thử việc không được hưởng chế độ này.</t>
  </si>
  <si>
    <t>[VÍ DỤ MINH HOẠ] Giả sử có nhập nhầm 2 ngày phép năm còn tồn cho nhân viên Trần Thị B (dù đang là Thử việc).</t>
  </si>
  <si>
    <t>1. Nhập dữ liệu theo Test Data, với Loại hợp đồng = Thử việc.
2. Chạy tính lương (hoặc để hệ thống tự tính).
3. Kiểm tra kết quả Lương phép tồn hiển thị trên hệ thống.</t>
  </si>
  <si>
    <t>Hệ thống phải trả kết quả Lương phép tồn = 0, dù có lỡ nhập số ngày phép năm còn tồn, vì nhân viên Thử việc không được hưởng khoản này.</t>
  </si>
  <si>
    <t>EARNED_PAID_LEAVE=0</t>
  </si>
  <si>
    <t>TC-CT-097</t>
  </si>
  <si>
    <t>[Lương cơ bản &amp; lương thực tế trong tháng] Rà soát tài liệu công thức nội bộ: công thức phiên bản cũ ('hiện tại') của Tổng lương trên HĐLĐ và Phụ cấp trách nhiệm (thực tế) có nhắc tới một tên biến cũ không còn nằm trong danh sách mã biến chính thức hiện hành — cần xác nhận đây chỉ là đổi tên hay là thiếu công thức thật.</t>
  </si>
  <si>
    <t>Không áp dụng (đây là bước rà soát tài liệu/công thức, không nhập dữ liệu chấm công hay lương thực tế).</t>
  </si>
  <si>
    <t>Đây là bước kiểm tra đối chiếu tài liệu/công thức nội bộ, KHÔNG phải thao tác trên hệ thống:
1. Đối chiếu tên biến xuất hiện ở công thức phiên bản cũ ('hiện tại') của 2 chỉ số Tổng lương trên HĐLĐ và Phụ cấp trách nhiệm (thực tế) với danh sách mã biến chính thức đang dùng.
2. Xác nhận đây chỉ là trường hợp đổi tên biến (đã đổi thành 'Phụ cấp trách nhiệm' ở công thức phiên bản mới), chứ không phải một biến riêng bị thiếu công thức tính.</t>
  </si>
  <si>
    <t>Xác nhận đây chỉ là dấu vết của việc đổi tên biến giữa 2 lần cập nhật tài liệu, KHÔNG phải một khoảng trống (gap) tính toán thật sự — công thức phiên bản mới (đã dùng làm căn cứ chuẩn xuyên suốt bộ test case này, ví dụ TC-CT-006/TC-CT-011) đã dùng đúng tên 'Phụ cấp trách nhiệm' nên không bị ảnh hưởng. Ghi nhận lại điểm này để tránh nhầm lẫn nếu sau này có ai đối chiếu trực tiếp theo công thức phiên bản cũ.</t>
  </si>
  <si>
    <t>TC-CT-114</t>
  </si>
  <si>
    <t>[Lương cơ bản &amp; lương thực tế trong tháng] Kiểm tra Tổng lương trên HĐLĐ tính đúng khi trong CÙNG một kỳ lương, nhân viên có quyết định đổi mức lương giữa kỳ (không tách thành 2 phiếu lương riêng).</t>
  </si>
  <si>
    <t>[VÍ DỤ MINH HOẠ] Nhân viên Phạm Văn D trong kỳ lương (22 ngày công chuẩn) có: mức lương cũ 20.000.000đ áp dụng cho 14 ngày công chuẩn đầu kỳ, sau đó đổi sang mức lương mới 25.000.000đ áp dụng cho 8 ngày công chuẩn còn lại.</t>
  </si>
  <si>
    <t>1. Nhập dữ liệu 2 mức lương và số ngày áp dụng tương ứng cho nhân viên theo Test Data.
2. Chạy tính lương, kiểm tra kết quả Tổng lương trên HĐLĐ (được tính bằng tổng của từng mức lương nhân với số ngày áp dụng, chia cho ngày công chuẩn của kỳ).
3. Kiểm tra xem hệ thống có xuất đúng 1 phiếu lương (Payslip) duy nhất cho cả kỳ hay bị tách thành 2 phiếu lương riêng.</t>
  </si>
  <si>
    <t>Tổng lương trên HĐLĐ phải bằng = (20.000.000×14/22) + (25.000.000×8/22) = 12.727.273 + 9.090.909 = 21.818.182đ (làm tròn theo quy tắc làm tròn chung). Hệ thống chỉ được xuất 1 phiếu lương (Payslip) duy nhất cho cả kỳ, KHÔNG tách thành 2 phiếu lương theo 2 mức lương — đây là kết luận nghiệp vụ đã được HR (Chị Thanh) xác nhận trực tiếp.</t>
  </si>
  <si>
    <t>Không chạy được qua engine thật — Không trích được 'Mã biến' nào từ Test Basis để biết code nào cần kiểm tra</t>
  </si>
  <si>
    <t>TC-CT-125</t>
  </si>
  <si>
    <t>[Lương cơ bản &amp; lương thực tế trong tháng] Kiểm tra Tổng lương trên HĐLĐ và phụ cấp tính đúng khi nhân viên gặp CÙNG LÚC 3 tình huống trong 1 kỳ lương: đổi mức lương giữa kỳ, điều động sang bộ phận khác, và có ngày nghỉ không lương xen giữa.</t>
  </si>
  <si>
    <t>[VÍ DỤ MINH HOẠ] Nhân viên Phạm Văn D trong kỳ lương (22 ngày công chuẩn) có: 10 ngày đầu hưởng lương 20.000.000đ tại bộ phận A, sau đó chuyển sang bộ phận B và đổi mức lương thành 25.000.000đ áp dụng cho 12 ngày, trong khoảng thời gian này có xen 3 ngày nghỉ không lương.</t>
  </si>
  <si>
    <t>1. Nhập đầy đủ dữ liệu 3 sự kiện (đổi lương, điều động, nghỉ không lương) cho nhân viên theo Test Data.
2. Chạy tính lương cho kỳ lương này.
3. Đối chiếu xem hệ thống có tách đúng từng phân đoạn lương theo mức lương, theo bộ phận, và có trừ đúng ngày nghỉ không lương hay không.</t>
  </si>
  <si>
    <t>Hệ thống phải tách đúng thành các phân đoạn lương tương ứng (lương cũ theo tỷ lệ ngày công + lương mới theo tỷ lệ ngày công, đã trừ đúng 3 ngày nghỉ không lương ra khỏi Tổng ngày làm việc hưởng lương), đồng thời phụ cấp cũng phải được tách đúng theo từng bộ phận. Nếu công thức hiện tại chỉ xử lý được MỘT trong hai sự kiện (chỉ đổi lương HOẶC chỉ điều động, mà bỏ sót sự kiện còn lại) thì đây được xem là lỗi (bug) thật sự, cần báo cáo lại.</t>
  </si>
  <si>
    <t>Không chạy được qua engine thật — Không map được label nào trong Test Data thành code (raw: 'Lương 20.000.000đ (10 ngày đầu, bộ phận A) → đổi lương 25.000.000đ (12 ngày, bộ phận B), trong đó có 3 ngày nghỉ không lương xen giữa; Ngày công chuẩn kỳ=22')</t>
  </si>
  <si>
    <t>◆ 03 · Mức lương dùng để đóng bảo hiểm</t>
  </si>
  <si>
    <t>TC-CT-015</t>
  </si>
  <si>
    <t>[Mức lương dùng để đóng bảo hiểm] Kiểm tra Mức lương dùng để đóng BHXH, BHYT tính đúng khi Lương chính thức (100%) của nhân viên còn thấp hơn mức trần quy định (50.600.000đ).</t>
  </si>
  <si>
    <t>[VÍ DỤ MINH HOẠ] Nhân viên Nguyễn Văn A có mức lương chính thức (100%) là 20.000.000đ (thấp hơn mức trần đóng BHXH/BHYT là 50.600.000đ).</t>
  </si>
  <si>
    <t>1. Nhập mức lương chính thức cho nhân viên theo Test Data.
2. Chạy tính lương (hoặc để hệ thống tự tính).
3. Kiểm tra kết quả Mức lương đóng BHXH, BHYT hiển thị trên hệ thống (được tính bằng số nhỏ hơn giữa lương chính thức và mức trần đóng BHXH/BHYT).</t>
  </si>
  <si>
    <t>Hệ thống tính đúng Mức lương đóng BHXH, BHYT = 20.000.000đ (bằng đúng lương chính thức, vì chưa vượt mức trần 50.600.000đ).</t>
  </si>
  <si>
    <t>INS_SAL_BH=20,000,000</t>
  </si>
  <si>
    <t>TC-CT-016</t>
  </si>
  <si>
    <t>[Mức lương dùng để đóng bảo hiểm] Kiểm tra Mức lương dùng để đóng BHXH, BHYT bị giới hạn đúng ở mức trần (50.600.000đ) khi Lương chính thức (100%) của nhân viên vượt mức trần này.</t>
  </si>
  <si>
    <t>[VÍ DỤ MINH HOẠ] Nhân viên Nguyễn Văn A có mức lương chính thức (100%) là 60.000.000đ (cao hơn mức trần đóng BHXH/BHYT là 50.600.000đ).</t>
  </si>
  <si>
    <t>1. Nhập mức lương chính thức cho nhân viên theo Test Data.
2. Chạy tính lương (hoặc để hệ thống tự tính).
3. Kiểm tra kết quả Mức lương đóng BHXH, BHYT hiển thị trên hệ thống.</t>
  </si>
  <si>
    <t>Hệ thống tính đúng Mức lương đóng BHXH, BHYT = 50.600.000đ, bằng đúng mức trần quy định, không được vượt quá dù lương thực tế cao hơn.</t>
  </si>
  <si>
    <t>INS_SAL_BH=50,600,000</t>
  </si>
  <si>
    <t>TC-CT-017</t>
  </si>
  <si>
    <t>[Mức lương dùng để đóng bảo hiểm] Kiểm tra Mức lương dùng để đóng BHXH, BHYT tính đúng tại đúng ngưỡng mức trần (50.600.000đ) — trường hợp biên khi lương bằng chính xác mức trần.</t>
  </si>
  <si>
    <t>[VÍ DỤ MINH HOẠ] Nhân viên Nguyễn Văn A có mức lương chính thức (100%) bằng đúng mức trần đóng BHXH/BHYT là 50.600.000đ.</t>
  </si>
  <si>
    <t>1. Nhập mức lương chính thức bằng đúng mức trần cho nhân viên theo Test Data.
2. Chạy tính lương (hoặc để hệ thống tự tính).
3. Kiểm tra kết quả Mức lương đóng BHXH, BHYT hiển thị trên hệ thống.</t>
  </si>
  <si>
    <t>Hệ thống tính đúng Mức lương đóng BHXH, BHYT = 50.600.000đ, không được lệch dù chỉ 1 đồng tại đúng ngưỡng trần.</t>
  </si>
  <si>
    <t>TC-CT-018</t>
  </si>
  <si>
    <t>[Mức lương dùng để đóng bảo hiểm] Kiểm tra Mức lương đóng BHXH, BHYT phải bằng 0 khi nhân viên đang có hợp đồng lao động ở một nơi khác (đã đóng BHXH ở đó) — quy tắc này CHỈ có ở công thức mới, chưa có ở công thức phiên bản cũ.</t>
  </si>
  <si>
    <t>[VÍ DỤ MINH HOẠ] Nhân viên Nguyễn Văn A có mức lương chính thức (100%) là 20.000.000đ.</t>
  </si>
  <si>
    <t>1. Nhập dữ liệu lương và xác nhận nhân viên đang có hợp đồng lao động ở nơi khác theo Test Data.
2. Chạy tính lương theo công thức mới (đã chuẩn hoá), kiểm tra kết quả Mức lương đóng BHXH, BHYT.
3. So sánh kết quả trên với kết quả nếu hệ thống chạy theo công thức phiên bản cũ ('hiện tại'), trên cùng dữ liệu đầu vào.</t>
  </si>
  <si>
    <t>Kết quả ĐÚNG cần thấy (theo công thức đã chốt): Mức lương đóng BHXH, BHYT = 0 (vì nhân viên không phải đóng BHXH ở đây, do đã đóng ở hợp đồng lao động khác). Nếu hệ thống vẫn đang chạy công thức CŨ, chưa cập nhật, kết quả sẽ SAI, ra = MIN(20.000.000, 50.600.000) = 20.000.000đ — hai công thức cho ra kết quả hoàn toàn khác nhau, cần đảm bảo hệ thống áp dụng đúng công thức mới.</t>
  </si>
  <si>
    <t>INS_SAL_BH=0</t>
  </si>
  <si>
    <t>TC-CT-019</t>
  </si>
  <si>
    <t>[Mức lương dùng để đóng bảo hiểm] Kiểm tra Mức lương đóng BHXH, BHYT phải bằng 0 khi nhân viên đang ở diện Thử việc (thử việc không đóng BHXH).</t>
  </si>
  <si>
    <t>[VÍ DỤ MINH HOẠ] Nhân viên Trần Thị B có mức lương chính thức (100%) tham chiếu là 20.000.000đ, và không có hợp đồng lao động ở nơi khác.</t>
  </si>
  <si>
    <t>1. Nhập dữ liệu theo Test Data, với Loại hợp đồng = Thử việc.
2. Chạy tính lương (hoặc để hệ thống tự tính).
3. Kiểm tra kết quả Mức lương đóng BHXH, BHYT hiển thị trên hệ thống.</t>
  </si>
  <si>
    <t>Hệ thống tính đúng Mức lương đóng BHXH, BHYT = 0, vì nhân viên Thử việc không thuộc diện đóng BHXH.</t>
  </si>
  <si>
    <t>TC-CT-020</t>
  </si>
  <si>
    <t>[Mức lương dùng để đóng bảo hiểm] Kiểm tra Mức lương đóng Bảo hiểm thất nghiệp (BHTN) phải bằng 0 khi nhân viên là người nước ngoài — quy tắc này chưa có ở công thức phiên bản cũ.</t>
  </si>
  <si>
    <t>[VÍ DỤ MINH HOẠ] Nhân viên John Smith có mức lương chính thức (100%) là 30.000.000đ, và là người nước ngoài.</t>
  </si>
  <si>
    <t>1. Nhập dữ liệu lương và đánh dấu nhân viên là người nước ngoài theo Test Data.
2. Chạy tính lương theo công thức mới (đã chuẩn hoá), kiểm tra kết quả Mức lương đóng BHTN.
3. So sánh kết quả trên với kết quả nếu hệ thống chạy theo công thức phiên bản cũ ('hiện tại').</t>
  </si>
  <si>
    <t>Kết quả ĐÚNG cần thấy (theo công thức đã chốt): Mức lương đóng BHTN = 0, vì người lao động nước ngoài không thuộc diện đóng BHTN. Nếu hệ thống vẫn đang chạy công thức CŨ, chưa cập nhật, kết quả sẽ SAI, ra = MIN(30.000.000, 106.200.000) = 30.000.000đ — hai công thức cho ra kết quả hoàn toàn khác nhau, cần đảm bảo hệ thống áp dụng đúng công thức mới.</t>
  </si>
  <si>
    <t>INS_SAL_UI=0</t>
  </si>
  <si>
    <t>TC-CT-021</t>
  </si>
  <si>
    <t>[Mức lương dùng để đóng bảo hiểm] Kiểm tra Mức lương đóng BHTN bị giới hạn đúng ở mức trần (106.200.000đ) cho nhân viên Việt Nam, Chính thức, không có hợp đồng lao động ở nơi khác.</t>
  </si>
  <si>
    <t>[VÍ DỤ MINH HOẠ] Nhân viên Nguyễn Văn A có mức lương chính thức (100%) là 120.000.000đ (cao hơn mức trần đóng BHTN là 106.200.000đ).</t>
  </si>
  <si>
    <t>1. Nhập mức lương chính thức cho nhân viên theo Test Data.
2. Chạy tính lương (hoặc để hệ thống tự tính).
3. Kiểm tra kết quả Mức lương đóng BHTN hiển thị trên hệ thống.</t>
  </si>
  <si>
    <t>Hệ thống tính đúng Mức lương đóng BHTN = 106.200.000đ, bằng đúng mức trần quy định, không được vượt quá dù lương thực tế cao hơn.</t>
  </si>
  <si>
    <t>INS_SAL_UI=106,200,000</t>
  </si>
  <si>
    <t>◆ 04 · Phụ cấp (ăn ca, đi lại, điện thoại, xăng, nhà ở...)</t>
  </si>
  <si>
    <t>TC-CT-022</t>
  </si>
  <si>
    <t>[Phụ cấp] Kiểm tra Phụ cấp cơm (tổng) được tính đúng bằng tổng số bữa ăn nhân với đơn giá tiền ăn mỗi bữa (45.000đ).</t>
  </si>
  <si>
    <t>[VÍ DỤ MINH HOẠ] Nhân viên Nguyễn Văn A trong kỳ lương có tổng cộng 24 bữa cơm (22 bữa ăn bình thường và 2 bữa ăn tăng ca).</t>
  </si>
  <si>
    <t>1. Nhập số bữa cơm cho nhân viên theo Test Data.
2. Chạy tính lương (hoặc để hệ thống tự tính).
3. Kiểm tra kết quả Phụ cấp cơm (tổng) hiển thị trên hệ thống (được tính bằng tổng số bữa nhân với 45.000đ/bữa).</t>
  </si>
  <si>
    <t>Hệ thống tính đúng Phụ cấp cơm (tổng) = 1.080.000đ (24 bữa × 45.000đ/bữa).</t>
  </si>
  <si>
    <t>MEAL_ALLOW=1,080,000</t>
  </si>
  <si>
    <t>TC-CT-023</t>
  </si>
  <si>
    <t>[Phụ cấp] Kiểm tra Phụ cấp cơm (chịu thuế) chỉ tính trên phần vượt mức trần miễn thuế tiền ăn hàng tháng (1.200.000đ).</t>
  </si>
  <si>
    <t>[VÍ DỤ MINH HOẠ] Nhân viên Nguyễn Văn A có Phụ cấp cơm (tổng) trong kỳ là 1.080.000đ, thấp hơn mức trần miễn thuế tiền ăn hàng tháng là 1.200.000đ.</t>
  </si>
  <si>
    <t>1. Nhập Phụ cấp cơm (tổng) cho nhân viên theo Test Data.
2. Chạy tính lương (hoặc để hệ thống tự tính).
3. Kiểm tra kết quả Phụ cấp cơm (chịu thuế) hiển thị trên hệ thống (chỉ tính phần Phụ cấp cơm (tổng) vượt quá mức trần 1.200.000đ, nếu không vượt thì bằng 0).</t>
  </si>
  <si>
    <t>Hệ thống tính đúng Phụ cấp cơm (chịu thuế) = 0, vì Phụ cấp cơm (tổng) chưa vượt mức trần miễn thuế.</t>
  </si>
  <si>
    <t>FAIL_SIT</t>
  </si>
  <si>
    <t>FAIL_UT</t>
  </si>
  <si>
    <t>MEAL_TAX=350,000 — Live code dùng trần MEAL_NONTAX_CAP=730,000 (KHÔNG phải 1,200,000 như Payroll Param/test giả định) — MEAL_TAX thực tế=350,000 (=1,080,000-730,000), khác 0 kỳ vọng.</t>
  </si>
  <si>
    <t>TC-CT-024</t>
  </si>
  <si>
    <t>[Phụ cấp] Kiểm tra Phụ cấp cơm (chịu thuế) tính đúng phần vượt trần khi Phụ cấp cơm (tổng) vượt mức trần miễn thuế (do có nhiều bữa ăn tăng ca trong tháng cao điểm).</t>
  </si>
  <si>
    <t>[VÍ DỤ MINH HOẠ] Nhân viên Nguyễn Văn A trong kỳ lương có tổng cộng 30 bữa cơm (do tháng cao điểm có nhiều bữa ăn tăng ca), tương ứng Phụ cấp cơm (tổng) = 1.350.000đ.</t>
  </si>
  <si>
    <t>1. Nhập số bữa cơm và Phụ cấp cơm (tổng) cho nhân viên theo Test Data.
2. Chạy tính lương (hoặc để hệ thống tự tính).
3. Kiểm tra kết quả Phụ cấp cơm (chịu thuế) hiển thị trên hệ thống.</t>
  </si>
  <si>
    <t>Hệ thống tính đúng Phụ cấp cơm (chịu thuế) = 150.000đ, đúng bằng phần Phụ cấp cơm (tổng) vượt mức trần miễn thuế 1.200.000đ (1.350.000 - 1.200.000).</t>
  </si>
  <si>
    <t>MEAL_TAX=620,000 — Cùng root cause TC-CT-023: trần thực=730,000 → MEAL_TAX=620,000 (=1,350,000-730,000), khác 150,000 kỳ vọng (tính theo trần 1,200,000).</t>
  </si>
  <si>
    <t>TC-CT-025</t>
  </si>
  <si>
    <t>[Phụ cấp] Kiểm tra Phụ cấp cơm (không chịu thuế) tính đúng, không vượt quá mức trần miễn thuế.</t>
  </si>
  <si>
    <t>[VÍ DỤ MINH HOẠ] Nhân viên Nguyễn Văn A có Phụ cấp cơm (tổng) trong kỳ là 1.350.000đ.</t>
  </si>
  <si>
    <t>1. Nhập Phụ cấp cơm (tổng) cho nhân viên theo Test Data.
2. Chạy tính lương (hoặc để hệ thống tự tính).
3. Kiểm tra kết quả Phụ cấp cơm (không chịu thuế) hiển thị trên hệ thống (lấy số nhỏ hơn giữa Phụ cấp cơm (tổng) và mức trần).</t>
  </si>
  <si>
    <t>Hệ thống tính đúng Phụ cấp cơm (không chịu thuế) = 1.200.000đ, đúng bằng mức trần miễn thuế; phần còn lại vượt trần đã được tính riêng ở Phụ cấp cơm (chịu thuế).</t>
  </si>
  <si>
    <t>MEAL_NONTAX=730,000 — Cùng root cause: MEAL_NONTAX thực=730,000 (=trần thực), khác 1,200,000 kỳ vọng.</t>
  </si>
  <si>
    <t>TC-CT-026</t>
  </si>
  <si>
    <t>[Phụ cấp] Kiểm tra hệ thống ghi nhận toàn bộ khoản Phụ cấp điện thoại (tổng) là không chịu thuế, đúng theo cấu hình hiện tại.</t>
  </si>
  <si>
    <t>[VÍ DỤ MINH HOẠ] Nhân viên Nguyễn Văn A được cấp Phụ cấp điện thoại (tổng) là 300.000đ/tháng (mức này quy định theo level của nhân viên).</t>
  </si>
  <si>
    <t>1. Nhập/khai báo mức Phụ cấp điện thoại (tổng) = 300.000đ cho nhân viên theo Test Data.
2. Chạy tính lương (hoặc để hệ thống tự tính) để ra kết quả Phụ cấp điện thoại (không chịu thuế).
3. Kiểm tra giá trị Phụ cấp điện thoại (không chịu thuế) hiển thị trên hệ thống.</t>
  </si>
  <si>
    <t>Hệ thống tính Phụ cấp điện thoại (không chịu thuế) = 300.000đ, tức toàn bộ khoản Phụ cấp điện thoại được ghi nhận là không chịu thuế, không có phần nào bị tính thuế.</t>
  </si>
  <si>
    <t>PHONE_NONTAX=300,000</t>
  </si>
  <si>
    <t>TC-CT-027</t>
  </si>
  <si>
    <t>[Phụ cấp] Kiểm tra hệ thống cộng đúng Phụ cấp đi lại (chịu thuế) từ mức chuẩn cộng với phần được duyệt riêng thêm.</t>
  </si>
  <si>
    <t>[VÍ DỤ MINH HOẠ] Nhân viên Nguyễn Văn A có Phụ cấp đi lại (mức chuẩn) là 1.000.000đ, và được duyệt thêm riêng 500.000đ Phụ cấp đi lại.</t>
  </si>
  <si>
    <t>1. Nhập dữ liệu Phụ cấp đi lại (mức chuẩn) = 1.000.000đ và Phụ cấp đi lại duyệt riêng = 500.000đ cho nhân viên.
2. Chạy tính lương để ra kết quả Phụ cấp đi lại (chịu thuế).
3. Kiểm tra giá trị Phụ cấp đi lại (chịu thuế) hiển thị trên hệ thống.</t>
  </si>
  <si>
    <t>Hệ thống tính đúng Phụ cấp đi lại (chịu thuế) = 1.000.000 + 500.000 = 1.500.000đ (bằng tổng mức chuẩn và phần duyệt riêng thêm).</t>
  </si>
  <si>
    <t>TRANSPORT_TAX=1,500,000</t>
  </si>
  <si>
    <t>TC-CT-028</t>
  </si>
  <si>
    <t>[Phụ cấp] Kiểm tra khi nhân viên có ngày công thực tế dưới 14 ngày trong tháng, hệ thống tự động cắt giảm các khoản phụ cấp theo tỷ lệ ngày công thực tế, thay vì trả đủ 100%.</t>
  </si>
  <si>
    <t>[VÍ DỤ MINH HOẠ] Trong tháng, nhân viên Nguyễn Văn A chỉ có 10 ngày công thực tế (dưới ngưỡng 14 ngày) và có thêm 2 ngày nghỉ lễ trong tháng.</t>
  </si>
  <si>
    <t>1. Nhập dữ liệu chấm công cho nhân viên với 10 ngày công thực tế và 2 ngày nghỉ lễ trong tháng.
2. Chạy tính lương để hệ thống tính các khoản phụ cấp (điện thoại, nhiên liệu, đi lại, trách nhiệm, ô tô, duyệt riêng...).
3. Kiểm tra tất cả các khoản phụ cấp này có được tính theo tỷ lệ ngày công hay không.</t>
  </si>
  <si>
    <t>Vì tổng ngày công thực tế + ngày nghỉ lễ (10+2=12 ngày) vẫn dưới 14 ngày, hệ thống phải cắt giảm TẤT CẢ các khoản phụ cấp nói trên theo tỷ lệ = (ngày làm thực tế + ngày nghỉ lễ)/ngày công chuẩn, KHÔNG được trả đủ 100% mức định mức.</t>
  </si>
  <si>
    <t>TC-CT-029</t>
  </si>
  <si>
    <t>[Phụ cấp] Kiểm tra Phụ cấp đi lại được tách đúng theo từng bộ phận, kèm áp dụng đúng quy tắc dưới 14 ngày công, khi nhân viên điều động giữa 2 bộ phận trong cùng kỳ lương (theo đúng ví dụ số 2, mục 5.4, tài liệu PRD1).</t>
  </si>
  <si>
    <t>Tổng số ngày đi làm thực tế trong cả tháng là 3+3=6 ngày, dưới ngưỡng 14 ngày, nên phải áp dụng quy tắc tính tỷ lệ riêng cho từng bộ phận theo đúng công thức tại ví dụ 2, mục 5.4 tài liệu PRD1: Phụ cấp đi lại = (số ngày đi làm thực tế + số ngày nghỉ lễ tại bộ phận A) / Ngày công chuẩn × mức Phụ cấp bộ phận A + (số ngày đi làm thực tế + số ngày nghỉ lễ tại bộ phận B) / Ngày công chuẩn × mức Phụ cấp bộ phận B.</t>
  </si>
  <si>
    <t>1. Nhập dữ liệu điều động 2 bộ phận cho nhân viên đúng theo số liệu ở Test Data (tổng ngày đi làm thực tế = 3+3 = 6 ngày, dưới 14 ngày, nên hệ thống phải áp quy tắc tính tỷ lệ riêng cho từng bộ phận).
2. Chạy tính lương để hệ thống tính Phụ cấp đi lại (và tương tự với Phụ cấp nhiên liệu/xăng, Phụ cấp điện thoại) theo công thức tách bộ phận nêu trên, cộng kết quả 2 bộ phận lại.
3. So sánh kết quả Phụ cấp đi lại hệ thống trả về với kết quả tính tay theo đúng công thức.</t>
  </si>
  <si>
    <t>Tổng số ngày đi làm thực tế = 3+3 = 6 ngày, dưới 14 ngày nên phải áp dụng quy tắc tính theo tỷ lệ. Số ngày được tính hưởng phụ cấp ở bộ phận A = 3 ngày đi làm + 1 ngày lễ = 4 ngày; ở bộ phận B = 3 ngày đi làm + 2 ngày lễ = 5 ngày (KHÔNG tính ngày nghỉ phép năm, nghỉ việc riêng có lương hay nghỉ không lương ở cả 2 bộ phận, đúng theo quy tắc mục 5.2 tài liệu PRD1). Phụ cấp đi lại đúng phải = (4/26)×500.000 + (5/26)×1.100.000 = 76.923,08 + 211.538,46 = làm tròn còn 288.462đ. Quy tắc tính tỷ lệ tương tự cũng áp dụng cho Phụ cấp nhiên liệu/xăng và Phụ cấp điện thoại, chỉ khác bảng định mức nguồn (mục 5.3.2, 5.3.3 tài liệu PRD1). NẾU hệ thống thực tế KHÔNG tách được phụ cấp theo từng bộ phận khi điều động (khả năng cao sẽ xảy ra) thì đây phải được xác định là LỖI HỆ THỐNG cần sửa, KHÔNG được coi là 'yêu cầu chưa rõ ràng' như đánh giá trước đây — vì tài liệu yêu cầu đã có đầy đủ công thức và ví dụ số cụ thể đã được phê duyệt.</t>
  </si>
  <si>
    <t>Rewrite lượt sau khi đọc lại PRD1.pdf v2.1 (Approved for Dev) — trước đây bị đánh giá nhầm là "yêu cầu BRD chưa rõ" (④ Khác/② Yêu cầu chưa rõ) trong khi PRD1 đã có công thức và 2 ví dụ số cụ thể từ trước (§5.4 Ví dụ 1, Ví dụ 2), chỉ là chưa được đưa vào Payroll structure. Xem thêm TC-CT-110 (ví dụ 1 — suất ăn khi điều động) và R22 (rủi ro đồng bộ tài liệu).</t>
  </si>
  <si>
    <t>Không chạy được qua engine thật — Không map được label nào trong Test Data thành code (raw: 'Tính Tổng ngày làm việc thực tế toàn tháng (3+3=6, dưới 14 ngày) → áp dụng quy tắc tỷ lệ RIÊNG cho từng bộ phận theo đúng công thức PRD1 §5.4 Ví dụ 2: Phụ cấp đi lại = (ngày làm việc thực tế + ngày lễ tại bộ phận A)/Công chuẩn × Định mức A + (ngày làm việc thực tế + ngày lễ tại bộ phận B)/Công chuẩn × Định mức B')</t>
  </si>
  <si>
    <t>TC-CT-090</t>
  </si>
  <si>
    <t>[Phụ cấp] Rà soát công thức Tổng bữa cơm — hiện chưa có công thức cụ thể trong tài liệu Payroll structure (gap cần xác nhận).</t>
  </si>
  <si>
    <t>Không có dữ liệu số liệu cụ thể cho case này — đây là kiểm tra rà soát tài liệu/công thức nội bộ, không phải kiểm tra một tình huống tính lương cụ thể.</t>
  </si>
  <si>
    <t>1. Rà soát lại công thức tính Tổng bữa cơm trong tài liệu Payroll structure.
2. Đối chiếu xem công thức có được thể hiện tường minh (dạng công thức Excel) hay chỉ là mô tả bằng lời. Đây là bước kiểm tra đối chiếu tài liệu, KHÔNG phải thao tác trên hệ thống.</t>
  </si>
  <si>
    <t>Phát hiện gap: cột mô tả nghiệp vụ (cột K) chỉ ghi bằng lời 'tổng cơm bữa + cơm tăng ca', nhưng KHÔNG có công thức Excel tường minh ở các cột công thức (cột H/J). Cần bộ phận Nghiệp vụ (Functional) bổ sung công thức cụ thể trước khi coi module Phụ cấp của Giai đoạn 1 (Phase 1) là hoàn tất.</t>
  </si>
  <si>
    <t>TC-CT-095</t>
  </si>
  <si>
    <t>[Phụ cấp] Rà soát Phụ cấp ô tô cấp quản lý (BRD-13: L7=10.000.000đ; L8=25.000.000đ; TGĐ=35.000.000đ) — dù đã được HR ký duyệt (SignOff) nhưng chưa có mã biến/công thức riêng nào trong toàn bộ tài liệu Payroll structure.</t>
  </si>
  <si>
    <t>1. Tìm trong tài liệu Payroll structure xem có mã biến/công thức nào tương ứng với Phụ cấp ô tô cấp quản lý hay không.
2. Kiểm tra xem khoản này có đang bị gộp ẩn vào Phụ cấp Khác (chịu thuế)/Phụ cấp Khác (không chịu thuế) hay hoàn toàn chưa được đưa vào hệ thống ở đâu cả. Đây là bước kiểm tra đối chiếu tài liệu, KHÔNG phải thao tác trên hệ thống.</t>
  </si>
  <si>
    <t>Phát hiện gap: BRD-13 (Phụ cấp ô tô cấp quản lý) đã được HR ký duyệt (SignOff) từ trước — không phải nội dung mới — nhưng vẫn KHÔNG có mã biến hay công thức riêng nào trong toàn bộ tài liệu Payroll structure. Đây là gap nghiêm trọng hơn các hạng mục mới khác vì đã qua bước ký duyệt mà vẫn thiếu. Nếu hệ thống thực tế đang gộp khoản này vào Phụ cấp Khác thì cần bộ phận Nghiệp vụ xác nhận bằng văn bản; nếu không, chưa đủ căn cứ để viết test case chi tiết (có số liệu cụ thể) cho khoản này ở Giai đoạn 1.</t>
  </si>
  <si>
    <t>TC-CT-110</t>
  </si>
  <si>
    <t>[Phụ cấp] Kiểm tra Tổng số suất ăn được cộng đúng theo từng bộ phận khi nhân viên điều động trong tháng (theo đúng ví dụ số 1, mục 5.4, tài liệu PRD1), đồng thời đối chiếu 2 mức trần miễn thuế Phụ cấp cơm khác nhau đang tồn tại.</t>
  </si>
  <si>
    <t>Tổng số suất ăn cả tháng = (5 ngày × 1 suất) + (20 ngày × 3 suất), tính đúng theo công thức tại ví dụ 1, mục 5.4 tài liệu PRD1.</t>
  </si>
  <si>
    <t>1. Nhập dữ liệu điều động cho nhân viên đúng theo Test Data (5 ngày tại văn phòng A × 1 suất ăn/ngày, cộng 20 ngày tại dự án B × 3 suất ăn/ngày).
2. Chạy tính lương để hệ thống tính Tổng số suất ăn và Phụ cấp cơm theo công thức nêu trên.
3. So sánh kết quả với 2 mức trần miễn thuế Phụ cấp cơm khác nhau đang tồn tại trong hệ thống (1.200.000đ đang dùng hiện tại so với 730.000đ theo tài liệu PRD1 — xem thêm case TC-CT-111).</t>
  </si>
  <si>
    <t>Tổng số suất ăn = 5×1 + 20×3 = 65 suất (đúng bằng số liệu chính tài liệu PRD1 tự tính ra trong ví dụ). Phụ cấp cơm (tổng) = 65 × 45.000 = 2.925.000đ. Theo mức trần miễn thuế đang dùng trong hệ thống hiện tại (1.200.000đ): Phụ cấp cơm không chịu thuế = 1.200.000đ, Phụ cấp cơm chịu thuế = 1.725.000đ. LƯU Ý QUAN TRỌNG: tài liệu PRD1 (mục 5.2 và 5.3.1, đã được duyệt để phát triển) lại ghi mức trần miễn thuế Phụ cấp cơm là 730.000đ/tháng — KHÁC với mức 1.200.000đ đang cấu hình trong hệ thống — xem thêm case TC-CT-111 (rủi ro R23). Nếu áp đúng mức trần 730.000đ theo tài liệu PRD1 thì kết quả sẽ là: Phụ cấp cơm không chịu thuế = 730.000đ, Phụ cấp cơm chịu thuế = 2.195.000đ (chênh lệch 470.000đ so với cách tính hiện tại, ảnh hưởng trực tiếp đến số thuế TNCN phải nộp). NẾU hệ thống thực tế KHÔNG tách được số suất ăn theo từng bộ phận khi điều động (khả năng cao sẽ xảy ra) thì đây là LỖI HỆ THỐNG cần sửa.</t>
  </si>
  <si>
    <t>Test case mới, dựng từ PRD1.pdf v2.1 §5.4 Ví dụ 1 (nguyên văn, không suy đoán số liệu). Liên hệ trực tiếp TC-CT-029 (Ví dụ 2, cùng nguồn PRD1) và TC-CT-111 (chênh lệch trần miễn thuế PC cơm phát hiện khi đọc lại ví dụ này).</t>
  </si>
  <si>
    <t>Không chạy được qua engine thật — Không map được label nào trong Test Data thành code (raw: 'Tính Tổng số suất ăn = (5 ngày × 1 bữa) + (20 ngày × 3 bữa) đúng theo công thức PRD1 §5.4 Ví dụ 1')</t>
  </si>
  <si>
    <t>TC-CT-111</t>
  </si>
  <si>
    <t>[Phụ cấp] Đối chiếu mức trần miễn thuế Phụ cấp cơm đang mâu thuẫn giữa 2 nguồn: tài liệu PRD1 ghi 730.000đ, còn tham số cấu hình hệ thống (MEAL_NONTAX_CAP) lại ghi 1.200.000đ.</t>
  </si>
  <si>
    <t>Phụ cấp cơm (tổng) = 1.080.000đ.</t>
  </si>
  <si>
    <t>1. Tính Phụ cấp cơm chịu thuế/không chịu thuế theo mức trần đang cấu hình trong hệ thống hiện tại (1.200.000đ).
2. Tính lại theo mức trần ghi trong tài liệu PRD1 (730.000đ).
3. So sánh 2 kết quả với nhau. Đây là bước kiểm tra đối chiếu tài liệu/công thức nội bộ, KHÔNG phải thao tác trên hệ thống.</t>
  </si>
  <si>
    <t>Theo tham số hệ thống hiện tại (trần 1.200.000đ): Phụ cấp cơm không chịu thuế = 1.080.000đ (chưa vượt trần), Phụ cấp cơm chịu thuế = 0đ — đây chính là kết quả case TC-CT-023 hiện có. Theo tài liệu PRD1 (trần 730.000đ): Phụ cấp cơm không chịu thuế = 730.000đ, Phụ cấp cơm chịu thuế = 350.000đ. Hai kết quả này khác nhau hoàn toàn (case TC-CT-023 hiện đang báo 'không có phần chịu thuế', nhưng theo PRD1 phải có 350.000đ chịu thuế). Các case TC-CT-022/023/024/025 hiện có đều dùng Phụ cấp cơm (tổng) trong khoảng 1.080.000-1.350.000đ, tức đều nằm trong vùng bị ảnh hưởng trực tiếp bởi sự chênh lệch trần này. Cần bộ phận Nghiệp vụ/BA/thuế vụ xác nhận khẩn cấp mức trần nào đúng, trước khi coi bất kỳ test case nào về Phụ cấp cơm là đã chốt.</t>
  </si>
  <si>
    <t>MEAL_NONTAX=730,000; MEAL_TAX=350,000 — Xác nhận bằng code thật: trần đang dùng = 730,000 (không phải 1,200,000) — trả lời dứt điểm câu hỏi mở trong chính TC này.</t>
  </si>
  <si>
    <t>TC-CT-112</t>
  </si>
  <si>
    <t>[Phụ cấp] Kiểm tra Phụ cấp nhiên liệu/xăng được tính đúng theo cấp bậc và nơi làm việc (công trường so với văn phòng).</t>
  </si>
  <si>
    <t>[VÍ DỤ MINH HOẠ] Nhân viên Nguyễn Văn A làm việc tại công trường, có Level 2, được hưởng Phụ cấp nhiên liệu/xăng công trường theo định mức cố định 1.000.000đ/tháng.</t>
  </si>
  <si>
    <t>1. Nhập dữ liệu nhân viên làm việc tại công trường, Level 2.
2. Chạy tính lương để ra kết quả Phụ cấp nhiên liệu/xăng (tổng và không chịu thuế).
3. Kiểm tra giá trị hiển thị trên hệ thống.</t>
  </si>
  <si>
    <t>Phụ cấp nhiên liệu/xăng (tổng) = 1.000.000đ (đúng định mức cố định áp dụng cho nhân viên công trường từ Level 2 trở lên). Lưu ý: cần bổ sung thêm 1 ca kiểm thử đối chứng cho nhân viên văn phòng (định mức cố định 800.000đ theo phê duyệt riêng) để kiểm tra đủ cả 2 trường hợp (công trường và văn phòng).</t>
  </si>
  <si>
    <t>Không chạy được qua engine thật — Không map được label nào trong Test Data thành code (raw: 'Vị trí=Công trường; Level=2; PC nhiên liệu công trường (định mức cố định theo BRD-12)=1.000.000')</t>
  </si>
  <si>
    <t>TC-CT-116</t>
  </si>
  <si>
    <t>[Phụ cấp] Kiểm tra trường hợp biên: Phụ cấp cơm (tổng) đúng bằng mức trần miễn thuế/tháng (1.200.000đ).</t>
  </si>
  <si>
    <t>[VÍ DỤ MINH HOẠ] Nhân viên Nguyễn Văn A có Phụ cấp cơm (tổng) = 1.200.000đ/tháng, đúng bằng mức trần miễn thuế/tháng.</t>
  </si>
  <si>
    <t>1. Nhập Phụ cấp cơm (tổng) = 1.200.000đ cho nhân viên.
2. Chạy tính lương để ra kết quả Phụ cấp cơm không chịu thuế (= giá trị nhỏ hơn giữa Phụ cấp cơm và mức trần) và Phụ cấp cơm chịu thuế (= phần vượt trần, nếu có).
3. Kiểm tra 2 kết quả này trên hệ thống.</t>
  </si>
  <si>
    <t>Phụ cấp cơm không chịu thuế = 1.200.000đ (đúng bằng mức trần); Phụ cấp cơm chịu thuế = 0đ (vì chưa vượt trần nên chưa có phần nào bị tính thuế). Lưu ý: bộ test hiện có đã có case dưới trần (1.080.000đ) và trên trần (1.350.000đ) nhưng còn thiếu đúng điểm bằng trần, nên case này bổ sung cho đủ.</t>
  </si>
  <si>
    <t>MEAL_NONTAX=0; MEAL_TAX=0</t>
  </si>
  <si>
    <t>TC-CT-123</t>
  </si>
  <si>
    <t>[Phụ cấp] [Gap xác nhận] Kiểm tra xem loại 'ngày nghỉ' nào (nghỉ phép năm/nghỉ bù/ngày nghỉ hàng tuần khác Chủ nhật) được tính Phụ cấp cơm — câu hỏi gốc về vấn đề này đã bị rơi mất khi gộp các câu hỏi/trả lời (Q&amp;A) lại với nhau.</t>
  </si>
  <si>
    <t>Không có số liệu cụ thể cho case này — đây là kiểm tra xác nhận phạm vi câu hỏi, không phải kiểm tra tính toán số liệu.</t>
  </si>
  <si>
    <t>1. Đối chiếu nội dung gốc câu hỏi số 2 trong danh sách câu hỏi nháp (Questions-draft) với nội dung thực tế đã được gộp vào nhóm câu hỏi số 6 (Phụ cấp cơm) trong bản câu hỏi cuối (Questions-final).
2. Làm việc với BA/HR để xác nhận: nghỉ phép năm, nghỉ bù, hay ngày nghỉ hàng tuần khác Chủ nhật có được tính Phụ cấp cơm giống như ngày lễ hay không, và số suất ăn tính giống ngày thường hay khác đi. Đây là bước kiểm tra đối chiếu tài liệu, KHÔNG phải thao tác trên hệ thống.</t>
  </si>
  <si>
    <t>Phải có câu trả lời rõ ràng, riêng biệt cho câu hỏi số 2 này (không được suy diễn từ câu trả lời của câu hỏi số 1), thì mới coi nhóm câu hỏi số 6 (Phụ cấp cơm) là đã được xác nhận đầy đủ.</t>
  </si>
  <si>
    <t>Negative / Gap xác nhận</t>
  </si>
  <si>
    <t>High</t>
  </si>
  <si>
    <t>TC-CT-124</t>
  </si>
  <si>
    <t>[Phụ cấp] [Gap xác nhận] Kiểm tra ngưỡng '14 ngày' dùng để cắt giảm tỷ lệ phụ cấp được tính trên loại ngày công nào (chỉ ngày đi làm thực tế, hay gồm cả ngày nghỉ vẫn hưởng lương) — câu hỏi gốc từng đưa ra 2 phương án nhưng bị chốt cứng 1 phương án khi gộp Q&amp;A, chưa chắc đã đúng ý HR.</t>
  </si>
  <si>
    <t>Không có số liệu cụ thể cho case này — đây là kiểm tra xác nhận phạm vi công thức, không phải kiểm tra tính toán số liệu.</t>
  </si>
  <si>
    <t>1. Đối chiếu nội dung gốc câu hỏi số 13 trong danh sách câu hỏi nháp (gồm phần a: loại ngày dùng để tính ngưỡng 14 ngày; phần b: chia cho ngày công chuẩn hay chia cho 14) với nội dung thực tế đã được gộp vào nhóm câu hỏi số 8 (Phụ cấp theo hợp đồng).
2. Làm việc với BA/Nghiệp vụ để xác nhận lại rõ ràng cả 2 phần (a) và (b). Đây là bước kiểm tra đối chiếu tài liệu, KHÔNG phải thao tác trên hệ thống.</t>
  </si>
  <si>
    <t>Phải có câu trả lời rõ ràng cho cả phần (a) và phần (b), chứ không chỉ mặc nhiên giữ nguyên công thức mặc định hiện tại như thể đã được xác nhận ngầm mà không có xác nhận chính thức.</t>
  </si>
  <si>
    <t>◆ 05 · Thưởng (Tết, KPI, lương tháng 13...)</t>
  </si>
  <si>
    <t>TC-CT-030</t>
  </si>
  <si>
    <t>[Thưởng] Kiểm tra hệ thống cộng đúng Tổng thưởng từ toàn bộ 13 khoản thưởng thành phần.</t>
  </si>
  <si>
    <t>[VÍ DỤ MINH HOẠ] Nhân viên Nguyễn Văn A trong kỳ có: Thưởng Tết Âm lịch = 15.000.000đ, Lương tháng 13 = 20.000.000đ, Thưởng KPIs/Văn phòng = 5.000.000đ; 10 khoản thưởng còn lại trong danh mục đều bằng 0.</t>
  </si>
  <si>
    <t>1. Nhập dữ liệu các khoản thưởng cho nhân viên theo đúng số liệu ở Test Data.
2. Chạy tính lương để ra kết quả Tổng thưởng (tổng của 13 khoản thưởng thành phần).
3. Kiểm tra giá trị Tổng thưởng hiển thị trên hệ thống.</t>
  </si>
  <si>
    <t>Hệ thống tính đúng Tổng thưởng = 15.000.000 + 20.000.000 + 5.000.000 = 40.000.000đ (bằng tổng 3 khoản có giá trị, 10 khoản còn lại bằng 0 không ảnh hưởng).</t>
  </si>
  <si>
    <t>BONUS_TOTAL=40,000,000</t>
  </si>
  <si>
    <t>TC-CT-031</t>
  </si>
  <si>
    <t>[Thưởng] Kiểm tra Thưởng Tết Âm lịch không được vượt quá mức trần 15.000.000đ, dù mức lương bình quân của nhân viên cao hơn nhiều.</t>
  </si>
  <si>
    <t>[VÍ DỤ MINH HOẠ] Nhân viên Nguyễn Văn A có mức lương bình quân 12 tháng là 25.000.000đ (cao hơn mức trần Thưởng Tết Âm lịch).</t>
  </si>
  <si>
    <t>1. Thử nhập/tính Thưởng Tết Âm lịch cho nhân viên có mức lương bình quân 25.000.000đ.
2. Kiểm tra giá trị Thưởng Tết Âm lịch hệ thống cho phép ghi nhận có bị chặn ở mức trần 15.000.000đ hay không.</t>
  </si>
  <si>
    <t>Thưởng Tết Âm lịch không được vượt quá 15.000.000đ. Nếu hệ thống cho phép người dùng nhập tay một giá trị vượt mức trần này, hệ thống phải có cảnh báo hoặc chặn lại, không được lưu giá trị vượt trần.</t>
  </si>
  <si>
    <t>TC-CT-032</t>
  </si>
  <si>
    <t>[Thưởng] Kiểm tra các tháng có từ 10 ngày nghỉ thai sản/ốm đau/không lương trở lên bị loại khỏi cơ sở tính lương bình quân dùng để tính thưởng.</t>
  </si>
  <si>
    <t>[VÍ DỤ MINH HOẠ] Trong thời gian xét thưởng, nhân viên Nguyễn Văn A có một tháng nghỉ không lương tới 12 ngày (vượt ngưỡng 10 ngày).</t>
  </si>
  <si>
    <t>1. Nhập dữ liệu nghỉ không lương 12 ngày trong 1 tháng của thời gian xét thưởng cho nhân viên.
2. Chạy tính lương bình quân dùng để tính Thưởng Tết Âm lịch/Lương tháng 13/Thưởng KPIs-Văn phòng.
3. Kiểm tra tháng có 12 ngày nghỉ không lương này có bị loại khỏi cách tính lương bình quân hay không.</t>
  </si>
  <si>
    <t>Lương bình quân phải loại trừ đúng tháng có từ 10 ngày nghỉ không lương trở lên ra khỏi cơ sở tính. Lưu ý: để xác minh đầy đủ cần có bộ dữ liệu 12 tháng lương thật (xem thêm Kế hoạch kiểm thử phiên bản 4, mục 08 về môi trường test).</t>
  </si>
  <si>
    <t>TC-CT-033</t>
  </si>
  <si>
    <t>[Thưởng] Kiểm tra Lương tháng 13 được tính đúng bằng 1 tháng lương bình quân theo thời gian xét.</t>
  </si>
  <si>
    <t>[VÍ DỤ MINH HOẠ] Nhân viên Nguyễn Văn A có mức lương bình quân 12 tháng hợp lệ (không bị loại trừ tháng nào) là 22.000.000đ.</t>
  </si>
  <si>
    <t>1. Nhập/xác nhận mức lương bình quân 12 tháng hợp lệ = 22.000.000đ cho nhân viên.
2. Chạy tính lương để ra kết quả Lương tháng 13.
3. Kiểm tra giá trị Lương tháng 13 hiển thị trên hệ thống.</t>
  </si>
  <si>
    <t>Hệ thống tính đúng Lương tháng 13 = 22.000.000đ, bằng đúng 1 tháng lương bình quân.</t>
  </si>
  <si>
    <t>Không chạy được qua engine thật — Không map được label nào trong Test Data thành code (raw: 'Bình quân lương 12 tháng hợp lệ = 22,000,000')</t>
  </si>
  <si>
    <t>TC-CT-034</t>
  </si>
  <si>
    <t>[Thưởng] Kiểm tra Thưởng công trình cũng áp dụng đúng quy tắc loại trừ kỳ nghỉ giống các loại thưởng khác (thai sản, ốm đau, không lương).</t>
  </si>
  <si>
    <t>[VÍ DỤ MINH HOẠ] Trong kỳ xét thưởng, nhân viên Nguyễn Văn A có 15 ngày nghỉ thai sản.</t>
  </si>
  <si>
    <t>1. Nhập dữ liệu nghỉ thai sản 15 ngày trong kỳ xét thưởng cho nhân viên.
2. Chạy tính lương để ra kết quả Thưởng công trình.
3. Kiểm tra kỳ nghỉ thai sản có được loại trừ đúng khỏi cơ sở tính Thưởng công trình hay không (theo đúng quy tắc loại trừ đã áp dụng chung cho các loại thưởng khác).</t>
  </si>
  <si>
    <t>Thưởng công trình phải áp dụng đúng quy tắc loại trừ kỳ nghỉ thai sản khỏi cơ sở tính, giống như quy tắc đã áp dụng cho các khoản thưởng khác — đảm bảo tính nhất quán rõ ràng giữa 2 tài liệu yêu cầu liên quan.</t>
  </si>
  <si>
    <t>TC-CT-035</t>
  </si>
  <si>
    <t>[Thưởng] Rà soát công thức phân bổ Thưởng KPI theo 3 cấp (công ty/khối-bộ phận/cá nhân) — hiện chưa có công thức cụ thể (gap cần xác nhận).</t>
  </si>
  <si>
    <t>Không có số liệu cụ thể cho case này — đây là kiểm tra rà soát tài liệu/công thức nội bộ, không phải kiểm tra tính toán số liệu.</t>
  </si>
  <si>
    <t>1. Rà soát công thức phân bổ Thưởng KPI theo 3 cấp (công ty, khối/bộ phận, cá nhân) trong tài liệu Payroll structure. Đây là bước kiểm tra đối chiếu tài liệu, KHÔNG phải thao tác trên hệ thống.</t>
  </si>
  <si>
    <t>Phát hiện gap: chính tài liệu yêu cầu (BRD-25) tự ghi nhận 'Chưa rõ yêu cầu cụ thể'. KHÔNG được viết test case chi tiết có số liệu cho phần này cho tới khi có công thức phân bổ cụ thể.</t>
  </si>
  <si>
    <t>TC-CT-109</t>
  </si>
  <si>
    <t>[Thưởng] Rà soát công thức tách thưởng theo tỷ lệ thời gian làm việc khi nhân viên điều động giữa nhiều dự án trong năm xét thưởng.</t>
  </si>
  <si>
    <t>1. Rà soát công thức Tổng thưởng và toàn bộ danh mục biến trong tài liệu Payroll structure để tìm công thức tách thưởng theo tỷ lệ dự án/thời gian điều động. Đây là bước kiểm tra đối chiếu tài liệu, KHÔNG phải thao tác trên hệ thống.</t>
  </si>
  <si>
    <t>Phát hiện gap: tài liệu yêu cầu BRD-26 ('Tách thưởng khi điều động') có mô tả nghiệp vụ rõ ràng — tách tỷ lệ thưởng tương ứng với thời gian/số tháng làm việc tại từng dự án trong năm, phục vụ hạch toán chi phí — NHƯNG chưa có bất kỳ mã biến hay công thức tương ứng nào trong toàn bộ tài liệu Payroll structure. Khác với 2 khoản tương tự đã có công thức và test case (thuộc BRD-18/19), BRD-26 trước đây chưa từng được đưa vào danh sách theo dõi (Traceability Matrix) của bộ test case này ở bất kỳ lượt rà soát nào trước đó. BRD-26 vẫn đang ở trạng thái 'Chưa bắt đầu' trong tài liệu, kèm ghi chú mở của chính người phân tích nghi ngờ nội dung này nên gộp chung phạm vi với một khoản phân bổ chi phí khác (cũng chưa có công thức). Đây là gap về TÀI LIỆU (thiếu công thức nguồn), không phải gap của bộ test case — nhưng việc BRD-26 từng bị bỏ sót khỏi danh sách theo dõi suốt các lượt rà soát trước là một khoảng trống của quy trình rà soát, nay đã được bổ sung.</t>
  </si>
  <si>
    <t>TC-CT-117</t>
  </si>
  <si>
    <t>[Thưởng] Kiểm tra 3 khoản trích trước (Du lịch, Thưởng KPI, Thưởng Tết Âm lịch) đều được đưa về 0 khi nhân viên có quyết định nghỉ việc trong kỳ, giống cách hệ thống đã xử lý với khoản trích trước Lương tháng 13.</t>
  </si>
  <si>
    <t>[VÍ DỤ MINH HOẠ] Với khoản trích trước Du lịch và Thưởng KPI: Tổng lương trên hợp đồng lao động = 22.000.000đ (dùng chung số liệu với các case TC-CT-086/087 đã có). Với khoản trích trước Thưởng Tết Âm lịch: Tổng lương trên hợp đồng lao động = 25.000.000đ (theo mẫu case TC-CT-085, vượt mức trần 15.000.000đ).</t>
  </si>
  <si>
    <t>1. Nhập dữ liệu nhân viên đã có quyết định nghỉ việc trong kỳ, cùng số liệu lương theo Test Data.
2. Chạy tính lương để ra kết quả 3 khoản trích trước: Trích Du lịch, Trích Thưởng KPI, Trích Thưởng Tết Âm lịch.
3. So sánh với kết quả của trường hợp nhân viên CHƯA nghỉ việc đã có ở các case TC-CT-085/086/087.</t>
  </si>
  <si>
    <t>Cả 3 khoản trích trước (Du lịch, Thưởng KPI, Thưởng Tết Âm lịch) đều phải bằng 0 khi nhân viên có quyết định nghỉ việc trong kỳ — dừng trích ngay từ kỳ có quyết định nghỉ việc, giống hành vi đã xác nhận đúng với khoản trích trước Lương tháng 13. KHÔNG được tính theo công thức bình thường (lần lượt là 833.333đ / 5.500.000đ / 1.250.000đ nếu còn đang làm việc).</t>
  </si>
  <si>
    <t>BONUS_SAVE_KPI=0; BONUS_SAVE_TET=0; BONUS_SAVE_TRAVEL=0</t>
  </si>
  <si>
    <t>TC-CT-120</t>
  </si>
  <si>
    <t>[Thưởng] [Gap xác nhận] Xác nhận chiều dữ liệu Thưởng chính thức (hệ thống Payroll tự tính, hay hệ thống Workday quản lý) — đang có mâu thuẫn giữa nội dung Hỏi-Đáp (Q&amp;A) mới và tài liệu BRD-06 đã ký duyệt trước đó.</t>
  </si>
  <si>
    <t>Không có số liệu cụ thể cho case này — đây là kiểm tra xác nhận phạm vi/kiến trúc dữ liệu, không phải kiểm tra tính toán số liệu.</t>
  </si>
  <si>
    <t>1. Đối chiếu tài liệu BRD-06 đã được phê duyệt với câu trả lời của nhóm câu hỏi số 4 trong bản Hỏi-Đáp cuối (Questions-final).
2. Làm việc với bộ phận Nghiệp vụ/PO để xác nhận chính thức: hệ thống Payroll tự tính thưởng rồi đẩy sang Workday, hay hệ thống Workday quản lý và Payroll chỉ lấy dữ liệu về. Đây là bước kiểm tra đối chiếu tài liệu, KHÔNG phải thao tác trên hệ thống.</t>
  </si>
  <si>
    <t>Phải có văn bản xác nhận chính thức 1 trong 2 chiều dữ liệu nói trên, đồng thời ghi rõ đây có phải là thay đổi phạm vi (sửa đổi BRD-06) hay không, trước khi coi bất kỳ phần code nào của tính năng Thưởng là đã làm đúng yêu cầu.</t>
  </si>
  <si>
    <t>TC-CT-121</t>
  </si>
  <si>
    <t>[Thưởng] [Gap xác nhận] Kiểm tra 5 khoản trích thưởng (Thưởng 02/09, Thưởng 30/4, Bổ sung đợt 2, Trích Coteccons Day, Lộc đầu năm) hiện chưa có công thức tính và chưa được cộng vào ngân sách thưởng tổng.</t>
  </si>
  <si>
    <t>5 khoản trích thưởng liên quan: Trích thưởng 2/9, Trích thưởng 30/4, Trích Bổ sung đợt 2, Trích Coteccons Day, Trích thưởng tết dương lịch 1/1 — cả cột công thức lẫn cột phụ thuộc của cả 5 khoản này đều đang trống trong tài liệu nguồn.</t>
  </si>
  <si>
    <t>1. Làm việc với BA/PO để xác nhận 5 khoản trích thưởng này có thuộc phạm vi triển khai chính thức (go-live) hay không.
2. Nếu có, xác nhận công thức tính cụ thể là gì và có được cộng vào ngân sách thưởng tổng (BUDGET_SAVE) hay tách riêng. Đây là bước kiểm tra đối chiếu tài liệu, KHÔNG phải thao tác trên hệ thống.</t>
  </si>
  <si>
    <t>Nếu 5 khoản này thuộc phạm vi triển khai chính thức: phải có công thức rõ ràng và được cộng đúng vào ngân sách thưởng tổng — khác với giả định hiện tại ở case TC-CT-030 (coi '10 khoản còn lại = 0'). Cần phân biệt rõ giữa 'có công thức nhưng kết quả ra 0' với 'chưa có công thức nào cả'.</t>
  </si>
  <si>
    <t>◆ 06 · Tổng thu nhập &amp; điều chỉnh lương trong tháng</t>
  </si>
  <si>
    <t>TC-CT-036</t>
  </si>
  <si>
    <t>[Tổng thu nhập &amp; điều chỉnh lương trong tháng] Kiểm tra hệ thống cộng đúng Tổng thu nhập trong tháng từ toàn bộ các thành phần thu nhập phát sinh trong tháng.</t>
  </si>
  <si>
    <t>[VÍ DỤ MINH HOẠ] Trong tháng, nhân viên Nguyễn Văn A có: Tổng lương thực tế trong tháng = 20.807.692đ, Phụ cấp cơm không chịu thuế = 1.080.000đ (Phụ cấp cơm chịu thuế = 0đ, các phụ cấp chịu thuế khác = 0đ), Tổng thưởng = 40.000.000đ, Tổng trợ cấp = 0đ, không có Điều chỉnh cộng (+) hay Điều chỉnh trừ (-) nào.</t>
  </si>
  <si>
    <t>1. Nhập/xác nhận các thành phần thu nhập của nhân viên theo đúng số liệu ở Test Data.
2. Chạy tính lương để ra kết quả Tổng thu nhập trong tháng.
3. Kiểm tra giá trị Tổng thu nhập trong tháng hiển thị trên hệ thống.</t>
  </si>
  <si>
    <t>Hệ thống tính đúng Tổng thu nhập trong tháng = 20.807.692 + 1.080.000 + 40.000.000 = 61.887.692đ (vì Điều chỉnh trừ (-) = 0 nên không ảnh hưởng đến kết quả ở tình huống này).</t>
  </si>
  <si>
    <t>GROSS=61,887,692</t>
  </si>
  <si>
    <t>TC-CT-037</t>
  </si>
  <si>
    <t>[Tổng thu nhập &amp; điều chỉnh lương trong tháng] Kiểm tra dấu cộng/trừ của khoản Điều chỉnh trừ (-) trong công thức Tổng thu nhập trong tháng — chính tài liệu gốc có ghi chú nghi ngờ hệ thống đang cộng nhầm khoản này thay vì trừ.</t>
  </si>
  <si>
    <t>[VÍ DỤ MINH HOẠ] Nhân viên Nguyễn Văn A có Tổng lương thực tế trong tháng = 20.000.000đ, không có Điều chỉnh cộng (+), và có khoản Điều chỉnh trừ (-) = 2.000.000đ (ví dụ: khoản thu hồi tiền tạm ứng).</t>
  </si>
  <si>
    <t>1. Nhập dữ liệu nhân viên theo Test Data, trong đó có khoản Điều chỉnh trừ (-) = 2.000.000đ.
2. Chạy tính lương để ra kết quả Tổng thu nhập trong tháng.
3. Kiểm tra kỹ xem hệ thống có TRỪ đúng khoản Điều chỉnh trừ (-) này khỏi Tổng thu nhập trong tháng hay không (đối chiếu với ghi chú nghi vấn trong tài liệu gốc là hệ thống có thể đang CỘNG nhầm khoản này thay vì trừ).</t>
  </si>
  <si>
    <t>Kết quả đúng theo nghiệp vụ phải là: Tổng thu nhập trong tháng = 20.000.000 + 0 − 2.000.000 = 18.000.000đ (lương giảm đi 2 triệu do có khoản điều chỉnh trừ). NẾU hệ thống thực tế đang cộng nhầm khoản Điều chỉnh trừ (-) này, kết quả sẽ ra 22.000.000đ (lương lại TĂNG lên trong khi lẽ ra phải giảm) — đây là lỗi tính toán nghiêm trọng nếu thực sự xảy ra, cần báo ngay cho đội phát triển.</t>
  </si>
  <si>
    <t>GROSS=18,000,000</t>
  </si>
  <si>
    <t>TC-CT-038</t>
  </si>
  <si>
    <t>[Tổng thu nhập &amp; điều chỉnh lương trong tháng] Kiểm tra Tổng thu nhập chịu thuế được trừ đúng các khoản không chịu thuế ra khỏi Tổng thu nhập trong tháng.</t>
  </si>
  <si>
    <t>[VÍ DỤ MINH HOẠ] Nhân viên Nguyễn Văn A có Tổng thu nhập trong tháng = 61.887.692đ, trong đó Phụ cấp cơm không chịu thuế = 1.080.000đ; các khoản không chịu thuế khác (Trợ cấp nghỉ việc, BHXH chi vào lương, Du lịch không chịu thuế...) đều bằng 0.</t>
  </si>
  <si>
    <t>1. Nhập/xác nhận Tổng thu nhập trong tháng và các khoản không chịu thuế theo đúng số liệu ở Test Data.
2. Chạy tính lương để ra kết quả Tổng thu nhập chịu thuế.
3. Kiểm tra giá trị Tổng thu nhập chịu thuế hiển thị trên hệ thống.</t>
  </si>
  <si>
    <t>Hệ thống tính đúng Tổng thu nhập chịu thuế = 61.887.692 − 1.080.000 = 60.807.692đ (bằng Tổng thu nhập trong tháng trừ đi khoản Phụ cấp cơm không chịu thuế).</t>
  </si>
  <si>
    <t>TAXABLE_GROSS=60,807,692</t>
  </si>
  <si>
    <t>TC-CT-039</t>
  </si>
  <si>
    <t>[Tổng thu nhập &amp; điều chỉnh lương trong tháng] Kiểm tra và đối chiếu: công thức Tổng thu nhập chịu thuế đang dùng trong hệ thống KHÔNG trừ khoản Từ thiện/Quỹ PCTT, trong khi công thức Excel gốc lại có trừ khoản này.</t>
  </si>
  <si>
    <t>[VÍ DỤ MINH HOẠ] Nhân viên Nguyễn Văn A có khoản đóng góp Từ thiện/Quỹ Phòng chống thiên tai = 1.000.000đ trong tháng.</t>
  </si>
  <si>
    <t>1. Nhập khoản Từ thiện/Quỹ PCTT = 1.000.000đ cho nhân viên.
2. So sánh cách tính Tổng thu nhập chịu thuế theo công thức tham số (param) đang dùng trong hệ thống với công thức trong file Excel gốc (có trừ khoản Từ thiện/Quỹ PCTT). Đây là bước kiểm tra đối chiếu tài liệu/công thức nội bộ, KHÔNG phải thao tác trên hệ thống.</t>
  </si>
  <si>
    <t>Phát hiện khác biệt: công thức tham số hiện tại đang dùng trong hệ thống KHÔNG đưa khoản Từ thiện/Quỹ PCTT vào công thức trừ để ra Tổng thu nhập chịu thuế, trong khi công thức Excel gốc có trừ khoản này. Cần bộ phận Nghiệp vụ xác nhận: khoản từ thiện có được trừ trước thuế ở một bước tính khác, hay đã bị bỏ sót hoàn toàn trong công thức hiện tại.</t>
  </si>
  <si>
    <t>TC-CT-091</t>
  </si>
  <si>
    <t>[Tổng thu nhập &amp; điều chỉnh lương trong tháng] Kiểm tra hệ thống cộng đúng Tổng trợ cấp từ 4 khoản trợ cấp thành phần.</t>
  </si>
  <si>
    <t>[VÍ DỤ MINH HOẠ] Nhân viên Nguyễn Văn A trong tháng có: Trợ cấp nghỉ việc = 0đ, BHXH chi vào lương = 1.000.000đ, Trợ cấp khác = 0đ, Các khoản hỗ trợ = 500.000đ.</t>
  </si>
  <si>
    <t>1. Nhập các khoản trợ cấp của nhân viên theo đúng số liệu ở Test Data.
2. Chạy tính lương để ra kết quả Tổng trợ cấp.
3. Kiểm tra giá trị Tổng trợ cấp hiển thị trên hệ thống.</t>
  </si>
  <si>
    <t>Hệ thống tính đúng Tổng trợ cấp = 1.000.000 + 500.000 = 1.500.000đ (bằng tổng 2 khoản có giá trị, 2 khoản còn lại bằng 0 không ảnh hưởng).</t>
  </si>
  <si>
    <t>TOTAL_SUPPORT=1,500,000</t>
  </si>
  <si>
    <t>TC-CT-094</t>
  </si>
  <si>
    <t>[Tổng thu nhập &amp; điều chỉnh lương trong tháng] Rà soát công thức Tổng thu nhập trong tháng có cộng thêm một khoản 'Phụ cấp điện thoại (chịu thuế)' — nhưng khoản này không có mã biến/dòng dữ liệu riêng nào trong toàn bộ danh mục biến của tài liệu Payroll structure (gap cần xác nhận).</t>
  </si>
  <si>
    <t>[VÍ DỤ MINH HOẠ] Nhân viên Nguyễn Văn A có Phụ cấp điện thoại (tổng) = 300.000đ, toàn bộ khoản này đã được xếp là không chịu thuế (giống case TC-CT-026 đã kiểm thử).</t>
  </si>
  <si>
    <t>1. Đối chiếu từng khoản trong công thức Tổng thu nhập trong tháng với danh sách đầy đủ các mã biến chính thức trong tài liệu Payroll structure.
2. Xác nhận hệ thống thực tế xử lý khoản 'Phụ cấp điện thoại (chịu thuế)' không có mã biến này như thế nào: mặc định coi là 0, báo lỗi, hay gây lỗi khi dựng công thức thật. Đây là bước kiểm tra đối chiếu tài liệu, KHÔNG phải thao tác trên hệ thống.</t>
  </si>
  <si>
    <t>Phát hiện gap: công thức Tổng thu nhập trong tháng có tham chiếu tới một khoản 'Phụ cấp điện thoại (chịu thuế)' không có mã biến, không có dòng dữ liệu riêng nào trong toàn bộ danh mục biến chính thức của Payroll structure (chỉ có Phụ cấp điện thoại (tổng) là khoản nhập vào, và Phụ cấp điện thoại (không chịu thuế) = Phụ cấp điện thoại (tổng), không có phần chịu thuế riêng). Cần bộ phận Nghiệp vụ xác nhận: (a) đây là khoản bị bỏ sót, cần bổ sung công thức riêng (giống như Phụ cấp cơm chịu thuế đã có công thức), hay (b) Phụ cấp điện thoại thực chất không có phần chịu thuế và cần xoá tham chiếu này khỏi công thức Tổng thu nhập trong tháng. Nếu hệ thống hiện đang ngầm coi khoản không tồn tại này bằng 0 thì kết quả số học của Tổng thu nhập trong tháng vẫn đúng, NHƯNG công thức nguồn vẫn đang chứa một tham chiếu chết — có rủi ro nếu sau này có người bổ sung công thức cho khoản này mà không rà soát lại toàn bộ chuỗi công thức phụ thuộc từ Tổng thu nhập trong tháng đến Tổng thu nhập chịu thuế và các bước sau.</t>
  </si>
  <si>
    <t>Không chạy được qua engine thật — Mô tả/Expected Result là dạng ghi nhận gap tài liệu, không phải phép tính cụ thể để so sánh</t>
  </si>
  <si>
    <t>TC-CT-104</t>
  </si>
  <si>
    <t>[Tổng thu nhập &amp; điều chỉnh lương trong tháng] Rà soát cơ chế 'truy thu/hoàn trả chênh lệch lương' (payback) khi HR điều chỉnh lương có hiệu lực hồi tố về một kỳ lương trước đó — đây là hạng mục mới, ít thông tin nhất trong số các nội dung mới bổ sung, chưa từng có trong bộ test case các lượt rà soát trước.</t>
  </si>
  <si>
    <t>1. Rà soát toàn bộ danh mục biến/công thức trong tài liệu Payroll structure để tìm nội dung liên quan đến cơ chế 'truy thu/hoàn trả lương' (payback) khi lương được điều chỉnh hồi tố.
2. Đối chiếu với các mã điều chỉnh chung đã có sẵn (điều chỉnh thuế TNCN, điều chỉnh BHXH/BHYT/BHTN, điều chỉnh cộng/trừ chung) xem có mã nào dành riêng cho trường hợp này không. Đây là bước kiểm tra đối chiếu tài liệu, KHÔNG phải thao tác trên hệ thống.</t>
  </si>
  <si>
    <t>Phát hiện gap xác nhận: không có mã biến hay công thức nào trong tài liệu Payroll structure định nghĩa cụ thể cơ chế payback khi lương được điều chỉnh hồi tố kỳ trước. Các mã điều chỉnh chung hiện có mang tính điều chỉnh tổng quát, chưa rõ có được dùng để hạch toán chênh lệch payback hay không. Đây là hạng mục có rủi ro cao nhất trong các mục mới bổ sung, vì hoàn toàn không có mô tả nghiệp vụ nào để đối chiếu, chỉ có một tiêu đề ngắn.</t>
  </si>
  <si>
    <t>TC-CT-105</t>
  </si>
  <si>
    <t>[Tổng thu nhập &amp; điều chỉnh lương trong tháng] Kiểm tra và đối chiếu: khoản Lương phép tồn hiện chưa được trừ ra khỏi Tổng thu nhập chịu thuế, dù công thức Excel gốc có trừ khoản này — nghi ngờ nhân viên đang bị tính thừa thuế TNCN.</t>
  </si>
  <si>
    <t>[VÍ DỤ MINH HOẠ] Nhân viên có Lương phép tồn = 1.538.462đ (lấy đúng số liệu đã dùng ở case TC-CT-013); các thành phần khác của Tổng thu nhập trong tháng giữ nguyên như ví dụ ở case TC-CT-036.</t>
  </si>
  <si>
    <t>1. Nhập khoản Lương phép tồn = 1.538.462đ cho nhân viên, cùng các thành phần thu nhập khác giữ như ví dụ TC-CT-036.
2. So sánh cách tính Tổng thu nhập chịu thuế theo công thức tham số (param) đang dùng trong hệ thống (không trừ Lương phép tồn) với công thức trong file Excel gốc (có trừ cả khoản Từ thiện lẫn Lương phép tồn). Đây là bước kiểm tra đối chiếu tài liệu/công thức nội bộ, KHÔNG phải thao tác trên hệ thống.</t>
  </si>
  <si>
    <t>Phát hiện khác biệt: công thức tham số hiện tại KHÔNG trừ khoản Lương phép tồn (1.538.462đ) ra khỏi Tổng thu nhập chịu thuế, trong khi công thức Excel gốc có trừ khoản này. Đây là một phát hiện MỚI, khác với gap đã ghi nhận ở case TC-CT-039 (case đó chỉ nói về khoản Từ thiện bị thiếu — cùng nằm trong công thức Tổng thu nhập chịu thuế nhưng khác thành phần bị bỏ sót). Cần bộ phận Nghiệp vụ/thuế vụ xác nhận: khoản Lương phép tồn có thuộc diện miễn thuế TNCN hay không. NẾU khoản này được miễn thuế (như tài liệu gốc ngụ ý), công thức hiện tại đang tính THỪA thuế TNCN cho MỌI nhân viên có phát sinh khoản này — đây là rủi ro tài chính trực tiếp cho người lao động, mức độ nghiêm trọng tương đương với rủi ro đã ghi nhận trước đó (R15).</t>
  </si>
  <si>
    <t>TAXABLE_GROSS=1,538,462 — khớp đúng mô tả gap hiện tại (TAXABLE_GROSS không trừ EARNED_PAID_LEAVE)</t>
  </si>
  <si>
    <t>TC-CT-118</t>
  </si>
  <si>
    <t>[Tổng thu nhập &amp; điều chỉnh lương trong tháng] Kiểm tra khoản Tăng ca chịu thuế và Tăng ca không chịu thuế (nhập tay) được cộng đúng vào Tổng thu nhập trong tháng và trừ đúng phần không chịu thuế ra khỏi Tổng thu nhập chịu thuế.</t>
  </si>
  <si>
    <t>[VÍ DỤ MINH HOẠ] Nhân viên Nguyễn Văn A có Tăng ca chịu thuế (nhập tay) = 800.000đ và Tăng ca không chịu thuế (nhập tay) = 200.000đ trong tháng; các thành phần khác của Tổng thu nhập trong tháng đều bằng 0.</t>
  </si>
  <si>
    <t>1. Nhập Tăng ca chịu thuế = 800.000đ và Tăng ca không chịu thuế = 200.000đ cho nhân viên.
2. Chạy tính lương để ra kết quả Tổng thu nhập trong tháng và Tổng thu nhập chịu thuế.
3. Kiểm tra 2 giá trị này hiển thị trên hệ thống.</t>
  </si>
  <si>
    <t>Tổng thu nhập trong tháng = 800.000 + 200.000 = 1.000.000đ. Tổng thu nhập chịu thuế = 1.000.000 − 200.000 = 800.000đ — xác nhận khoản Tăng ca không chịu thuế được loại đúng khỏi cơ sở tính thuế, còn Tăng ca chịu thuế vẫn được tính vào phần chịu thuế.</t>
  </si>
  <si>
    <t>GROSS=0; OT_NONTAX=200,000; OT_TAX=800,000; TAXABLE_GROSS=-200,000</t>
  </si>
  <si>
    <t>TC-CT-119</t>
  </si>
  <si>
    <t>[Tổng thu nhập &amp; điều chỉnh lương trong tháng] [Cần xác nhận phạm vi] Kiểm tra xem hệ thống có tự động tính tiền tăng ca (cột chịu thuế và không chịu thuế) theo giờ tăng ca nhân với hệ số của từng loại ngày/khung giờ hay không, hay bộ phận C&amp;B vẫn phải tự tính tay rồi nhập vào.</t>
  </si>
  <si>
    <t>Không áp dụng (đây là bước đối chiếu tài liệu/công thức, không phải một hồ sơ nhân viên cụ thể).</t>
  </si>
  <si>
    <t>1. Đây là bước kiểm tra đối chiếu tài liệu/công thức nội bộ của hệ thống, KHÔNG phải thao tác trên giao diện.
2. Đối chiếu bảng cấu hình hệ số tăng ca trong hệ thống: hiện có sẵn 6 mức hệ số tăng ca đúng theo luật lao động (ngày thường 150%, ngày thường ca đêm 200%, cuối tuần 200%, cuối tuần ca đêm 270%, lễ/tết 300%, lễ/tết ca đêm 370%).
3. Đối chiếu tiếp phần cấu hình tính lương: xác nhận các công thức tự động tính tiền tăng ca theo các hệ số trên đã bị gỡ bỏ, thay bằng đúng 2 cột 'Tăng ca (chịu thuế)' và 'Tăng ca (không chịu thuế)' để nhập tay số liệu đã tính sẵn.</t>
  </si>
  <si>
    <t>Xác nhận đây là một khoảng trống CÓ CHỦ ĐÍCH, không phải lỗi hệ thống: hai cột 'Tăng ca (chịu thuế)' và 'Tăng ca (không chịu thuế)' hiện là số do bộ phận C&amp;B tự tính tay bên ngoài rồi nhập vào hệ thống — hệ thống không tự động tính giờ tăng ca nhân hệ số theo từng loại ngày, và cũng không có gì đối chiếu/cảnh báo nếu C&amp;B nhập sai hệ số. Cần Functional/Product xác nhận việc nhập tay này có được chấp nhận (ví dụ C&amp;B vẫn tính tay ngoài hệ thống, trên bảng chấm công/Excel riêng) hay cần xây dựng tính năng tự động cho giai đoạn sau — đặc biệt quan trọng với công nhân công trường vì khối lượng tăng ca lớn, nhiều loại ngày/khung giờ, dễ tính sai khi làm tay.</t>
  </si>
  <si>
    <t>Gap-Verification</t>
  </si>
  <si>
    <t>◆ 07 · Bảo hiểm xã hội — phần người lao động đóng</t>
  </si>
  <si>
    <t>TC-CT-040</t>
  </si>
  <si>
    <t>[Bảo hiểm xã hội — phần người lao động đóng] Kiểm tra hệ thống tính đúng khoản bảo hiểm xã hội (BHXH) 8% người lao động phải đóng, dựa trên mức lương đóng bảo hiểm và có giới hạn trần.</t>
  </si>
  <si>
    <t>[VÍ DỤ MINH HOẠ] Nhân viên Nguyễn Văn A có Mức lương đóng BHXH, BHYT là 20.000.000 đồng.</t>
  </si>
  <si>
    <t>1. Nhập/kiểm tra mức lương đóng BHXH, BHYT của nhân viên là 20.000.000 đồng.
2. Chạy tính lương (hoặc để hệ thống tự tính) để ra khoản BHXH nhân viên phải đóng (8%).
3. Kiểm tra kết quả BHXH NV 8% hiển thị trên hệ thống.</t>
  </si>
  <si>
    <t>Hệ thống tính đúng BHXH nhân viên 8% = 20.000.000 × 8% = 1.600.000 đồng (vì mức lương này vẫn thấp hơn trần đóng BHXH/BHYT là 50.600.000 đồng nên không bị giới hạn).</t>
  </si>
  <si>
    <t>SI_EMP=1,600,000</t>
  </si>
  <si>
    <t>TC-CT-041</t>
  </si>
  <si>
    <t>[Bảo hiểm xã hội — phần người lao động đóng] Kiểm tra hệ thống áp đúng mức trần khi tính BHXH nhân viên phải đóng, cho nhân viên có lương cao hơn mức trần quy định.</t>
  </si>
  <si>
    <t>[VÍ DỤ MINH HOẠ] Nhân viên Nguyễn Văn A có Lương chính thức (100%) là 60.000.000 đồng, cao hơn mức trần lương đóng BHXH/BHYT là 50.600.000 đồng.</t>
  </si>
  <si>
    <t>1. Nhập/kiểm tra lương chính thức của nhân viên là 60.000.000 đồng.
2. Chạy tính lương để ra khoản BHXH nhân viên phải đóng.
3. Kiểm tra kết quả BHXH NV 8% hiển thị trên hệ thống, đối chiếu xem có bị chặn đúng ở mức trần hay không.</t>
  </si>
  <si>
    <t>Hệ thống phải lấy mức thấp hơn giữa lương thực tế và mức trần trước khi tính 8%: BHXH NV 8% = 50.600.000 × 8% = 4.048.000 đồng (không được tính trên 60.000.000 đồng lương thực tế).</t>
  </si>
  <si>
    <t>SI_EMP=4,048,000</t>
  </si>
  <si>
    <t>TC-CT-042</t>
  </si>
  <si>
    <t>[Bảo hiểm xã hội — phần người lao động đóng] Kiểm tra hệ thống tính đúng khoản bảo hiểm y tế (BHYT) 1.5% người lao động phải đóng, dùng chung mức trần với BHXH.</t>
  </si>
  <si>
    <t>[VÍ DỤ MINH HOẠ] Nhân viên Nguyễn Văn A có Lương chính thức (100%) là 20.000.000 đồng.</t>
  </si>
  <si>
    <t>1. Nhập/kiểm tra lương chính thức của nhân viên là 20.000.000 đồng.
2. Chạy tính lương để ra khoản BHYT nhân viên phải đóng.
3. Kiểm tra kết quả BHYT NV 1.5% hiển thị trên hệ thống.</t>
  </si>
  <si>
    <t>Hệ thống tính đúng BHYT nhân viên 1.5% = 20.000.000 × 1.5% = 300.000 đồng (mức lương này thấp hơn trần đóng BHXH/BHYT 50.600.000 đồng nên không bị giới hạn).</t>
  </si>
  <si>
    <t>HI_EMP=300,000</t>
  </si>
  <si>
    <t>TC-CT-043</t>
  </si>
  <si>
    <t>[Bảo hiểm xã hội — phần người lao động đóng] Kiểm tra hệ thống tính đúng khoản bảo hiểm thất nghiệp (BHTN) 1% người lao động phải đóng, dùng mức trần riêng cho BHTN.</t>
  </si>
  <si>
    <t>1. Nhập/kiểm tra lương chính thức của nhân viên là 20.000.000 đồng.
2. Chạy tính lương để ra khoản BHTN nhân viên phải đóng.
3. Kiểm tra kết quả BHTN NV 1% hiển thị trên hệ thống.</t>
  </si>
  <si>
    <t>Hệ thống tính đúng BHTN nhân viên 1% = 20.000.000 × 1% = 200.000 đồng (mức lương này thấp hơn trần đóng BHTN riêng là 106.200.000 đồng nên không bị giới hạn).</t>
  </si>
  <si>
    <t>UI_EMP=200,000</t>
  </si>
  <si>
    <t>TC-CT-044</t>
  </si>
  <si>
    <t>[Bảo hiểm xã hội — phần người lao động đóng] Kiểm tra quy tắc: nhân viên nghỉ không lương hoặc nghỉ thai sản từ 14 ngày trở lên trong tháng thì tháng đó không phải trích bất kỳ khoản bảo hiểm nào (cả phần người lao động và phần công ty đóng).</t>
  </si>
  <si>
    <t>[VÍ DỤ MINH HOẠ] Nhân viên Nguyễn Văn A trong tháng có 16 ngày nghỉ không lương/nghỉ thai sản (từ 14 ngày trở lên).</t>
  </si>
  <si>
    <t>1. Nhập dữ liệu chấm công có 16 ngày nghỉ không lương/thai sản trong tháng cho nhân viên.
2. Chạy tính lương cho kỳ lương này.
3. Kiểm tra toàn bộ 7 khoản bảo hiểm liên quan (BHXH, BHYT, BHTN phần nhân viên đóng; BHXH, BHYT, BHTN, bảo hiểm tai nạn lao động - bệnh nghề nghiệp phần công ty đóng).</t>
  </si>
  <si>
    <t>Cả 7 khoản bảo hiểm nói trên (cả phần nhân viên và phần công ty đóng) đều bằng 0 cho tháng lương này, vì số ngày nghỉ không lương/thai sản (16 ngày) đã đạt từ 14 ngày trở lên.</t>
  </si>
  <si>
    <t>Không chạy được qua engine thật — Không map được label nào trong Test Data thành code (raw: 'Số ngày nghỉ không lương + thai sản trong tháng = 16 ngày (≥14)')</t>
  </si>
  <si>
    <t>TC-CT-045</t>
  </si>
  <si>
    <t>[Bảo hiểm xã hội — phần người lao động đóng] Kiểm tra ranh giới của quy tắc 14 ngày: khi số ngày nghỉ không lương trong tháng chỉ mới 13 ngày (chưa đạt 14 ngày) thì bảo hiểm vẫn phải được trích đầy đủ như bình thường.</t>
  </si>
  <si>
    <t>[VÍ DỤ MINH HOẠ] Nhân viên Nguyễn Văn A trong tháng có 13 ngày nghỉ không lương (chưa đủ 14 ngày).</t>
  </si>
  <si>
    <t>1. Nhập dữ liệu chấm công có 13 ngày nghỉ không lương trong tháng cho nhân viên.
2. Chạy tính lương cho kỳ lương này.
3. Kiểm tra các khoản BHXH, BHYT, BHTN phần nhân viên đóng có được trích bình thường hay không.</t>
  </si>
  <si>
    <t>BHXH NV 8%, BHYT NV 1.5%, BHTN NV 1% vẫn được tính bình thường theo lương, không được miễn — vì 13 ngày chưa đạt ngưỡng 14 ngày. Đây là phép thử ranh giới chính xác giữa 13 và 14 ngày, đảm bảo hệ thống không lệch một ngày.</t>
  </si>
  <si>
    <t>Không chạy được qua engine thật — Không map được label nào trong Test Data thành code (raw: 'Số ngày nghỉ không lương trong tháng = 13 ngày (&lt; 14)')</t>
  </si>
  <si>
    <t>TC-CT-046</t>
  </si>
  <si>
    <t>[Bảo hiểm xã hội — phần người lao động đóng] Kiểm tra nhân viên là người nước ngoài thì không phải đóng bảo hiểm thất nghiệp (BHTN).</t>
  </si>
  <si>
    <t>[VÍ DỤ MINH HOẠ] Nhân viên Nguyễn Văn A là người nước ngoài, có Lương chính thức (100%) là 30.000.000 đồng.</t>
  </si>
  <si>
    <t>1. Đánh dấu nhân viên là 'Người nước ngoài' trong hồ sơ.
2. Nhập/kiểm tra lương chính thức là 30.000.000 đồng.
3. Chạy tính lương và kiểm tra kết quả BHTN NV 1%.</t>
  </si>
  <si>
    <t>BHTN NV 1% = 0 đồng cho nhân viên nước ngoài (khớp với việc Mức lương đóng BHTN của họ cũng đã bằng 0 theo quy định).</t>
  </si>
  <si>
    <t>UI_EMP=0</t>
  </si>
  <si>
    <t>TC-CT-047</t>
  </si>
  <si>
    <t>[Bảo hiểm xã hội — phần người lao động đóng] Kiểm tra nhân viên đã tham gia BHXH ở nơi khác thì chỉ bị trích khoản bảo hiểm tai nạn lao động - bệnh nghề nghiệp, không trích các khoản BHXH/BHYT/BHTN khác nữa.</t>
  </si>
  <si>
    <t>[VÍ DỤ MINH HOẠ] Nhân viên Nguyễn Văn A đã bật cờ 'đã tham gia BHXH ở nơi khác' trong hồ sơ.</t>
  </si>
  <si>
    <t>1. Bật lựa chọn 'đã tham gia BHXH nơi khác' cho nhân viên.
2. Chạy tính lương.
3. Kiểm tra các khoản bảo hiểm hiển thị trên phiếu lương.</t>
  </si>
  <si>
    <t>Chỉ có khoản bảo hiểm tai nạn lao động - bệnh nghề nghiệp (BHTNLĐ-BNN Cty 0.5%) được trích; các khoản BHXH nhân viên 8%, BHYT nhân viên 1.5%, BHTN nhân viên 1%, và các khoản BHXH/BHYT/BHTN phía công ty đóng đều bằng 0.</t>
  </si>
  <si>
    <t>Không chạy được qua engine thật — Không map được label nào trong Test Data thành code (raw: "Cờ 'đã tham gia BHXH nơi khác' = Có")</t>
  </si>
  <si>
    <t>TC-CT-048</t>
  </si>
  <si>
    <t>[Bảo hiểm xã hội — phần người lao động đóng] Kiểm tra công thức tính mức hưởng chế độ thai sản/ốm đau, dựa trên một nửa số ngày hưởng nhân với lương bình quân 6 tháng liền kề.</t>
  </si>
  <si>
    <t>[VÍ DỤ MINH HOẠ] Nhân viên Nguyễn Văn A có thời gian hưởng chế độ là 30 ngày, lương bình quân 6 tháng liền kề là 21.000.000 đồng.</t>
  </si>
  <si>
    <t>1. Ghi nhận thời gian hưởng chế độ thai sản/ốm là 30 ngày, lương bình quân 6 tháng liền kề là 21.000.000 đồng.
2. Tính mức hưởng theo công thức: 1/2 × 30 × 21.000.000.
3. Đối chiếu kết quả với tài liệu yêu cầu.</t>
  </si>
  <si>
    <t>Trước khi có thể chốt kết quả cụ thể, cần Functional xác nhận đơn vị tính của công thức là theo ngày công hay theo tháng lương — hiện tài liệu chỉ mô tả bằng lời, chưa có công thức/mã biến rõ ràng trong hệ thống tính lương. Đây là điểm còn thiếu thông tin, chưa thể kết luận PASS/FAIL cho tới khi được bổ sung.</t>
  </si>
  <si>
    <t>TC-CT-049</t>
  </si>
  <si>
    <t>[Bảo hiểm xã hội — phần người lao động đóng] Kiểm tra Tổng BHXH nhân viên phải đóng được cộng đúng, bao gồm cả các khoản điều chỉnh tăng/giảm phát sinh (nếu có).</t>
  </si>
  <si>
    <t>[VÍ DỤ MINH HOẠ] Nhân viên Nguyễn Văn A có BHXH NV 8% là 1.600.000 đồng cùng một khoản điều chỉnh giảm BHXH NV là -50.000 đồng, BHYT NV 1.5% là 300.000 đồng (không có điều chỉnh), BHTN NV 1% là 200.000 đồng (không có điều chỉnh).</t>
  </si>
  <si>
    <t>1. Nhập các khoản BHXH/BHYT/BHTN nhân viên và các khoản điều chỉnh tương ứng (nếu có) theo đúng số liệu ở Test Data.
2. Chạy tính lương để ra Tổng BHXH nhân viên.
3. Kiểm tra kết quả Tổng BHXH nhân viên hiển thị trên hệ thống.</t>
  </si>
  <si>
    <t>Hệ thống cộng đúng Tổng BHXH nhân viên = 1.600.000 - 50.000 + 300.000 + 200.000 = 2.050.000 đồng, đã bao gồm cả khoản điều chỉnh giảm 50.000 đồng.</t>
  </si>
  <si>
    <t>TOTAL_INS=2,050,000</t>
  </si>
  <si>
    <t>TC-CT-103</t>
  </si>
  <si>
    <t>[Bảo hiểm xã hội — phần người lao động đóng] Kiểm tra xem hệ thống có xử lý riêng quy tắc 'chỉ tính BHYT' cho nhân viên đã nghỉ việc trong tháng hay không — nội dung này có trong tài liệu gốc nhưng chưa từng được kiểm tra ở các lần rà soát trước.</t>
  </si>
  <si>
    <t>1. Đây là bước kiểm tra đối chiếu tài liệu/công thức nội bộ của hệ thống, KHÔNG phải thao tác trên giao diện.
2. Rà soát các công thức tính Mức lương đóng BHXH/BHYT, BHXH NV, BHYT NV, BHTN NV trong hệ thống.
3. Xác nhận có tồn tại điều kiện riêng nào xử lý trường hợp nhân viên nghỉ việc 'chỉ tính BHYT' hay không.</t>
  </si>
  <si>
    <t>Xác nhận đây là một khoảng trống cần làm rõ: toàn bộ công thức tính lương hiện tại KHÔNG có bất kỳ điều kiện nào xử lý riêng trường hợp 'chỉ tính BHYT khi nghỉ việc' — nội dung này hiện chỉ tồn tại dưới dạng một dòng ghi chú ngắn trong tài liệu phê duyệt, chưa có mô tả chi tiết điều kiện áp dụng (nghỉ việc ngày nào trong tháng thì áp dụng, có tính cùng quy tắc 14 ngày không) cũng như công thức tính cụ thể. Cần bổ sung yêu cầu trước khi có thể xây dựng và kiểm thử đầy đủ.</t>
  </si>
  <si>
    <t>TC-CT-106</t>
  </si>
  <si>
    <t>[Bảo hiểm xã hội — phần người lao động đóng] Kiểm tra xem các khoản bảo hiểm/công đoàn/chi phí công ty có được làm tròn về số nguyên (đơn vị đồng) rõ ràng hay không, khi mức lương đóng bảo hiểm là một số lẻ.</t>
  </si>
  <si>
    <t>[VÍ DỤ MINH HOẠ] Nhân viên Nguyễn Văn A có Mức lương đóng BHXH, BHYT là 13.333.333 đồng (thấp hơn trần 50.600.000 đồng nên không bị giới hạn).</t>
  </si>
  <si>
    <t>1. Nhập mức lương đóng BHXH, BHYT là 13.333.333 đồng cho nhân viên.
2. Chạy tính lương để ra các khoản BHXH NV 8%, BHYT NV 1.5%, BHTN NV 1% (và tương tự các khoản phía công ty đóng: BHXH 17%, BHYT 3%, BHTN 1%, BHTNLĐ-BNN 0.5%, phí công đoàn 2%).
3. Kiểm tra các kết quả này có phải là số nguyên (đồng), không có phần thập phân, hay không.</t>
  </si>
  <si>
    <t>Theo đúng công thức hiện tại (không có bước làm tròn), kết quả sẽ ra số thập phân: BHXH NV = 13.333.333 × 8% = 1.066.666,64 đồng; BHYT NV = 13.333.333 × 1.5% = 199.999,995 đồng; BHTN NV = 13.333.333 × 1% = 133.333,33 đồng — trong khi tiền VND không có đơn vị nhỏ hơn đồng. Rà soát cho thấy toàn bộ nhóm công thức bảo hiểm/công đoàn/chi phí công ty hiện KHÔNG có bước làm tròn tường minh, khác với nhóm công thức lương/thuế (vốn đã có làm tròn rõ ràng). Các trường hợp kiểm thử trước đó đều tình cờ dùng mức lương 'sạch' (chia hết cho mọi tỷ lệ) nên chưa phát hiện ra vấn đề này. Cần Functional/Dev xác nhận việc làm tròn sẽ áp dụng ở đâu (ngay trong công thức, hay ở bước hiển thị/lưu dữ liệu) trước khi đưa hệ thống vào sử dụng chính thức — nếu không, phiếu lương có thể hiển thị số thập phân hoặc các dòng tổng cộng bị lệch vài đồng khi đối chiếu với kế toán.</t>
  </si>
  <si>
    <t>HI_CTY=400,000; HI_EMP=200,000; KPCD_CTY=266,667; SI_CTY=2,266,667; SI_EMP=1,066,667; TNLD_CTY=66,667; UI_CTY=0; UI_EMP=0; UNION_FEE=66,667</t>
  </si>
  <si>
    <t>TC-CT-108</t>
  </si>
  <si>
    <t>[Bảo hiểm xã hội — phần người lao động đóng] Kiểm tra nhân viên có hợp đồng lao động ở 2 nơi thì có được miễn trừ đúng các khoản BHXH/BHYT/BHTN hay không — phát hiện mâu thuẫn giữa 2 nhóm công thức trong hệ thống.</t>
  </si>
  <si>
    <t>[VÍ DỤ MINH HOẠ] Nhân viên Nguyễn Văn A — Loại hợp đồng: Chính thức, có HĐLĐ ở nơi khác: Có, Lương chính thức (100%) là 25.000.000 đồng.</t>
  </si>
  <si>
    <t>1. Đánh dấu nhân viên là 'có HĐLĐ ở nơi khác' và nhập lương chính thức 25.000.000 đồng.
2. Chạy tính lương.
3. Kiểm tra kết quả Mức lương đóng BHXH/BHYT, Mức lương đóng BHTN, sau đó kiểm tra tiếp các khoản BHXH NV, BHYT NV, BHTN NV — so sánh 2 nhóm kết quả với nhau.</t>
  </si>
  <si>
    <t>Mức lương đóng BHXH/BHYT và Mức lương đóng BHTN đúng bằng 0 (đúng theo quy định: có HĐLĐ 2 nơi thì không phải đóng các khoản này qua công ty). NHƯNG khi kiểm tra tiếp, các khoản BHXH NV 8%, BHYT NV 1.5%, BHTN NV 1% vẫn bị trích như bình thường (BHXH NV = 2.000.000 đồng, BHYT NV = 375.000 đồng, BHTN NV = 250.000 đồng, tổng 2.625.000 đồng) — nghĩa là công thức đang tính TRÙNG, khấu trừ nhầm dù phần lương làm căn cứ đóng bảo hiểm đã đúng là 0. Đây là mâu thuẫn NỘI TẠI giữa 2 nhóm công thức đã có sẵn trong hệ thống (không phải thiếu tài liệu) — nếu không sửa, MỌI nhân viên có HĐLĐ 2 nơi hoặc đang thử việc (và với BHTN: cả người nước ngoài) sẽ bị trừ sai các khoản bảo hiểm này, ngược với đúng quy định. Cần xác nhận và sửa lại công thức trước khi go-live.</t>
  </si>
  <si>
    <t>HI_CTY=0; HI_EMP=0; INS_SAL_BH=0; INS_SAL_UI=0; SI_CTY=0; SI_EMP=0; TNLD_CTY=0; UI_CTY=0; UI_EMP=0</t>
  </si>
  <si>
    <t>TC-CT-113</t>
  </si>
  <si>
    <t>[Bảo hiểm xã hội — phần người lao động đóng] Kiểm tra nhân viên đang trong thời gian thử việc có bị trích nhầm các khoản BHXH/BHYT/BHTN hay không — cùng dạng lỗi phát hiện ở trường hợp HĐLĐ 2 nơi.</t>
  </si>
  <si>
    <t>[VÍ DỤ MINH HOẠ] Nhân viên Nguyễn Văn A — Loại hợp đồng: Thử việc, Lương chính thức (100%) là 20.000.000 đồng.</t>
  </si>
  <si>
    <t>1. Đánh dấu loại hợp đồng của nhân viên là 'Thử việc' và nhập lương chính thức 20.000.000 đồng.
2. Chạy tính lương.
3. Kiểm tra kết quả Mức lương đóng BHXH/BHYT, Mức lương đóng BHTN (kỳ vọng bằng 0), sau đó kiểm tra tiếp các khoản BHXH NV, BHYT NV, BHTN NV — so sánh 2 nhóm kết quả với nhau, giống cách kiểm tra ở trường hợp HĐLĐ 2 nơi.</t>
  </si>
  <si>
    <t>Mức lương đóng BHXH/BHYT và Mức lương đóng BHTN đúng bằng 0 (nhân viên thử việc không phải đóng các khoản này). Các khoản BHXH NV, BHYT NV, BHTN NV PHẢI bằng 0 tương ứng — nhưng nếu công thức đang tự tính lại phần trăm trên lương thay vì dựa vào kết quả 0 nói trên (giống lỗi đã phát hiện ở trường hợp HĐLĐ 2 nơi), các khoản này sẽ SAI &gt; 0. Đây cùng là dạng lỗi cần được xác nhận và sửa cùng lúc với trường hợp HĐLĐ 2 nơi.</t>
  </si>
  <si>
    <t>HI_EMP=0; INS_SAL_BH=0; INS_SAL_UI=0; SI_EMP=0; UI_EMP=0</t>
  </si>
  <si>
    <t>TC-CT-115</t>
  </si>
  <si>
    <t>[Bảo hiểm xã hội — phần người lao động đóng] Kiểm tra hệ thống tính đúng mức lương làm căn cứ đóng BHTN khi lương của nhân viên đúng bằng mức trần quy định.</t>
  </si>
  <si>
    <t>[VÍ DỤ MINH HOẠ] Nhân viên Nguyễn Văn A có Lương chính thức (100%) đúng bằng mức trần đóng BHTN là 106.200.000 đồng.</t>
  </si>
  <si>
    <t>1. Nhập lương chính thức của nhân viên đúng bằng 106.200.000 đồng.
2. Chạy tính lương.
3. Kiểm tra kết quả Mức lương đóng BHTN hiển thị trên hệ thống.</t>
  </si>
  <si>
    <t>Mức lương đóng BHTN = 106.200.000 đồng, đúng bằng mức trần — không bị cắt xuống thấp hơn, cũng không vượt trần. Đây là phép thử đúng tại ranh giới của mức trần, bổ sung cho các phép thử đã có (dưới trần và trên trần).</t>
  </si>
  <si>
    <t>TC-CT-122</t>
  </si>
  <si>
    <t>[Bảo hiểm xã hội — phần người lao động đóng] Kiểm tra khi thay đổi mức trần đóng bảo hiểm (BHXH/BHYT, BHTNLĐ-BNN) trên màn hình cấu hình, hệ thống có thực sự áp dụng giá trị mới vào kết quả tính lương hay không.</t>
  </si>
  <si>
    <t>[VÍ DỤ MINH HOẠ] Nhân viên Nguyễn Văn A có lương cao hơn 46.800.000 đồng. Đổi mức trần đóng BHXH trên màn hình cấu hình từ 46.800.000 đồng lên 50.600.000 đồng.</t>
  </si>
  <si>
    <t>1. Vào màn hình cấu hình bảo hiểm, đổi giá trị mức trần đóng BHXH từ 46.800.000 đồng lên 50.600.000 đồng và lưu lại.
2. Chạy lại tính lương cho nhân viên mẫu có lương cao hơn 46.800.000 đồng.
3. Kiểm tra các khoản BHXH/BHYT/BHTNLĐ-BNN trên phiếu lương có thay đổi theo giá trị mới vừa cập nhật hay không.</t>
  </si>
  <si>
    <t>Nếu các khoản bảo hiểm trên phiếu lương KHÔNG thay đổi dù màn hình cấu hình đã báo lưu thành công, nghĩa là hệ thống đang dùng giá trị cũ được ghi cứng sẵn trong công thức thay vì đọc từ cấu hình mới cập nhật — đây là lỗi 'thay đổi cấu hình không có tác dụng thật', cần được sửa để mọi thay đổi trên màn hình cấu hình đều áp dụng đúng vào kết quả tính lương.</t>
  </si>
  <si>
    <t>Negative / Config-drift</t>
  </si>
  <si>
    <t>TC-CT-126</t>
  </si>
  <si>
    <t>[Bảo hiểm xã hội — phần người lao động đóng] Kiểm tra ranh giới chính xác của quy tắc 14 ngày: khi nhân viên nghỉ không lương đúng 14 ngày trong tháng (không phải 13 hay 16 ngày), bảo hiểm có được xử lý đúng theo quy định hay không.</t>
  </si>
  <si>
    <t>[VÍ DỤ MINH HOẠ] Nhân viên Nguyễn Văn A có đúng 14 ngày nghỉ không lương trong tháng (không phải 13 hay 16 ngày).</t>
  </si>
  <si>
    <t>1. Nhập dữ liệu chấm công có đúng 14 ngày nghỉ không lương trong tháng cho nhân viên.
2. Chạy tính lương cho kỳ lương này.
3. Kiểm tra toàn bộ 7 khoản bảo hiểm (BHXH/BHYT/BHTN cả phần nhân viên và công ty đóng, cùng phí công đoàn) tại đúng mốc 14 ngày.</t>
  </si>
  <si>
    <t>Cần làm rõ quy định áp dụng từ đúng 14 ngày hay phải trên 14 ngày: nếu quy định là 'từ 14 ngày trở lên thì miễn', cả 7 khoản bảo hiểm phải bằng 0 tại đúng 14 ngày; nếu quy định là 'phải trên 14 ngày', thì tại đúng 14 ngày vẫn phải đóng bình thường. Lưu ý quan trọng: tính đến hiện tại, tính năng tự động đếm số ngày nghỉ không lương/thai sản trong tháng để áp dụng quy tắc này CHƯA được xây dựng trong hệ thống — vì vậy câu hỏi ranh giới này hiện CHƯA THỂ kiểm chứng thực tế, chỉ có thể xác nhận khi tính năng đếm ngày được xây dựng xong.</t>
  </si>
  <si>
    <t>Không chạy được qua engine thật — Không map được label nào trong Test Data thành code (raw: 'Số ngày nghỉ không lương trong tháng = 14 (chính xác, không phải 13 hay 16)')</t>
  </si>
  <si>
    <t>◆ 08 · Giảm trừ gia cảnh &amp; thu nhập tính thuế</t>
  </si>
  <si>
    <t>TC-CT-050</t>
  </si>
  <si>
    <t>[Giảm trừ gia cảnh &amp; thu nhập tính thuế] Kiểm tra hệ thống tính đúng khoản giảm trừ bản thân (15.500.000 đồng) cho nhân viên chính thức.</t>
  </si>
  <si>
    <t>[VÍ DỤ MINH HOẠ] Nhân viên Nguyễn Văn A — Loại hợp đồng: Chính thức.</t>
  </si>
  <si>
    <t>1. Xác nhận nhân viên có loại hợp đồng Chính thức.
2. Chạy tính lương.
3. Kiểm tra kết quả Giảm trừ bản thân hiển thị trên hệ thống.</t>
  </si>
  <si>
    <t>Giảm trừ bản thân = 15.500.000 đồng.</t>
  </si>
  <si>
    <t>TC-CT-051</t>
  </si>
  <si>
    <t>[Giảm trừ gia cảnh &amp; thu nhập tính thuế] Kiểm tra khoản giảm trừ bản thân cho nhân viên đang thử việc — công thức hiện tại đang cho ra 0, cần xác nhận đây có phải đúng chủ đích hay là lỗi cần sửa.</t>
  </si>
  <si>
    <t>[VÍ DỤ MINH HOẠ] Nhân viên Nguyễn Văn A — Loại hợp đồng: Thử việc.</t>
  </si>
  <si>
    <t>1. Xác nhận nhân viên có loại hợp đồng Thử việc.
2. Chạy tính lương.
3. Kiểm tra kết quả Giảm trừ bản thân hiển thị trên hệ thống.</t>
  </si>
  <si>
    <t>Kết quả mong đợi ĐÚNG là 0 — điều này đã được HR xác nhận chính thức: 'nhân viên thử việc không được tính giảm trừ bản thân'. Tuy nhiên, hiện phát hiện một khoảng trống thật: công thức Giảm trừ bản thân trên hệ thống đang là một con số cố định 15.500.000 đồng cho MỌI loại hợp đồng, KHÔNG phân biệt Thử việc hay Chính thức — nghĩa là nhân viên thử việc vẫn đang bị trừ giống như nhân viên chính thức, sai với quy định đã chốt. Cần báo Dev sửa lại công thức để trả về 0 khi loại hợp đồng là Thử việc.</t>
  </si>
  <si>
    <t>TC-CT-052</t>
  </si>
  <si>
    <t>[Giảm trừ gia cảnh &amp; thu nhập tính thuế] Kiểm tra hệ thống tính đúng khoản giảm trừ gia cảnh cho người phụ thuộc, mỗi người 6.200.000 đồng.</t>
  </si>
  <si>
    <t>[VÍ DỤ MINH HOẠ] Nhân viên Nguyễn Văn A đăng ký 2 người phụ thuộc.</t>
  </si>
  <si>
    <t>1. Nhập số người phụ thuộc của nhân viên là 2.
2. Chạy tính lương.
3. Kiểm tra kết quả Giảm trừ gia cảnh người phụ thuộc hiển thị trên hệ thống.</t>
  </si>
  <si>
    <t>Giảm trừ gia cảnh người phụ thuộc = 2 × 6.200.000 = 12.400.000 đồng.</t>
  </si>
  <si>
    <t>DEPENDENT_DED=12,400,000</t>
  </si>
  <si>
    <t>TC-CT-053</t>
  </si>
  <si>
    <t>[Giảm trừ gia cảnh &amp; thu nhập tính thuế] Kiểm tra khoản giảm trừ người phụ thuộc bằng 0 khi nhân viên không đăng ký người phụ thuộc nào.</t>
  </si>
  <si>
    <t>[VÍ DỤ MINH HOẠ] Nhân viên Nguyễn Văn A không đăng ký người phụ thuộc nào.</t>
  </si>
  <si>
    <t>1. Nhập số người phụ thuộc của nhân viên là 0.
2. Chạy tính lương.
3. Kiểm tra kết quả Giảm trừ gia cảnh người phụ thuộc hiển thị trên hệ thống.</t>
  </si>
  <si>
    <t>Giảm trừ gia cảnh người phụ thuộc = 0 đồng.</t>
  </si>
  <si>
    <t>DEPENDENT_DED=0</t>
  </si>
  <si>
    <t>TC-CT-054</t>
  </si>
  <si>
    <t>[Giảm trừ gia cảnh &amp; thu nhập tính thuế] Kiểm tra luồng đăng ký người phụ thuộc: HR đăng ký, tải lên danh sách, hệ thống tổng hợp đúng vào bảng lương.</t>
  </si>
  <si>
    <t>[VÍ DỤ MINH HOẠ] Danh sách đăng ký người phụ thuộc gồm 3 người có đủ giấy tờ hợp lệ và 1 người còn thiếu giấy tờ.</t>
  </si>
  <si>
    <t>1. HR chuẩn bị file đăng ký người phụ thuộc gồm 3 người hợp lệ và 1 người thiếu giấy tờ.
2. Tải file lên hệ thống.
3. Kiểm tra số người phụ thuộc được hệ thống tổng hợp vào hồ sơ nhân viên.</t>
  </si>
  <si>
    <t>Hệ thống chỉ tổng hợp đúng số người phụ thuộc HỢP LỆ (3 người) vào hồ sơ, không tính người còn thiếu giấy tờ. Lưu ý: cần Functional cung cấp quy tắc kiểm tra hợp lệ giấy tờ trước khi trường hợp này có thể chạy kiểm thử chính thức.</t>
  </si>
  <si>
    <t>TC-CT-055</t>
  </si>
  <si>
    <t>[Giảm trừ gia cảnh &amp; thu nhập tính thuế] Kiểm tra hệ thống tính đúng Thu nhập tính thuế, bằng Tổng thu nhập chịu thuế trừ đi tổng BHXH nhân viên đóng và tổng các khoản giảm trừ.</t>
  </si>
  <si>
    <t>[VÍ DỤ MINH HOẠ] Nhân viên Nguyễn Văn A có Tổng thu nhập chịu thuế là 60.807.692 đồng, Tổng BHXH nhân viên đóng là 2.050.000 đồng, Tổng khoản giảm trừ (bản thân + người phụ thuộc) là 27.900.000 đồng.</t>
  </si>
  <si>
    <t>1. Nhập/kiểm tra các số liệu Tổng thu nhập chịu thuế, Tổng BHXH nhân viên, Tổng khoản giảm trừ theo đúng Test Data.
2. Chạy tính lương để ra Thu nhập tính thuế.
3. Kiểm tra kết quả Thu nhập tính thuế hiển thị trên hệ thống.</t>
  </si>
  <si>
    <t>Thu nhập tính thuế = 60.807.692 - 2.050.000 - 27.900.000 = 30.857.692 đồng.</t>
  </si>
  <si>
    <t>TAXABLE_INC=30,857,692</t>
  </si>
  <si>
    <t>TC-CT-056</t>
  </si>
  <si>
    <t>[Giảm trừ gia cảnh &amp; thu nhập tính thuế] Kiểm tra Thu nhập tính thuế không bị âm: khi tổng các khoản giảm trừ lớn hơn thu nhập chịu thuế, kết quả phải chặn về 0.</t>
  </si>
  <si>
    <t>[VÍ DỤ MINH HOẠ] Nhân viên Nguyễn Văn A có Tổng thu nhập chịu thuế là 10.000.000 đồng, Tổng BHXH nhân viên đóng là 800.000 đồng, Tổng khoản giảm trừ (bản thân + 3 người phụ thuộc) là 27.900.000 đồng.</t>
  </si>
  <si>
    <t>1. Nhập/kiểm tra các số liệu theo đúng Test Data.
2. Chạy tính lương để ra Thu nhập tính thuế.
3. Kiểm tra kết quả Thu nhập tính thuế hiển thị trên hệ thống.</t>
  </si>
  <si>
    <t>Nếu tính theo công thức thông thường sẽ ra số âm (10.000.000 - 800.000 - 27.900.000 = -18.700.000), nhưng hệ thống phải chặn kết quả về đúng 0 — Thu nhập tính thuế = 0 đồng, không được phép âm.</t>
  </si>
  <si>
    <t>TAXABLE_INC=0</t>
  </si>
  <si>
    <t>TC-CT-092</t>
  </si>
  <si>
    <t>[Giảm trừ gia cảnh &amp; thu nhập tính thuế] Kiểm tra hệ thống cộng đúng Tổng khoản giảm trừ, gồm giảm trừ bản thân cộng giảm trừ người phụ thuộc.</t>
  </si>
  <si>
    <t>[VÍ DỤ MINH HOẠ] Nhân viên Nguyễn Văn A có Giảm trừ bản thân 15.500.000 đồng, Giảm trừ gia cảnh người phụ thuộc 12.400.000 đồng (2 người phụ thuộc).</t>
  </si>
  <si>
    <t>1. Nhập/kiểm tra Giảm trừ bản thân và Giảm trừ gia cảnh người phụ thuộc theo đúng Test Data.
2. Chạy tính lương để ra Tổng khoản giảm trừ.
3. Kiểm tra kết quả Tổng khoản giảm trừ hiển thị trên hệ thống.</t>
  </si>
  <si>
    <t>Tổng khoản giảm trừ = 15.500.000 + 12.400.000 = 27.900.000 đồng.</t>
  </si>
  <si>
    <t>TOTAL_DED=27,900,000</t>
  </si>
  <si>
    <t>◆ 09 · Thuế thu nhập cá nhân (TNCN)</t>
  </si>
  <si>
    <t>TC-CT-057</t>
  </si>
  <si>
    <t>[Thuế thu nhập cá nhân] Kiểm tra hệ thống tính đúng thuế thu nhập cá nhân (TNCN) ở bậc 1 (thu nhập tính thuế từ 10 triệu đồng trở xuống), cho nhân viên chính thức.</t>
  </si>
  <si>
    <t>[VÍ DỤ MINH HOẠ] Nhân viên Nguyễn Văn A có Thu nhập tính thuế là 8.000.000 đồng.</t>
  </si>
  <si>
    <t>1. Nhập/kiểm tra Thu nhập tính thuế là 8.000.000 đồng.
2. Chạy tính lương để ra Thuế TNCN.
3. Kiểm tra kết quả Thuế TNCN hiển thị trên hệ thống.</t>
  </si>
  <si>
    <t>Thuế TNCN = 400.000 đồng, tương ứng bậc 1 (thuế suất 5%) trong biểu thuế luỹ tiến từng phần.</t>
  </si>
  <si>
    <t>PIT=400,000</t>
  </si>
  <si>
    <t>TC-CT-058</t>
  </si>
  <si>
    <t>[Thuế thu nhập cá nhân] Kiểm tra thuế TNCN tính ra đúng và khớp nhau tại đúng điểm chuyển bậc thuế từ bậc 1 sang bậc 2 (mức 10 triệu đồng).</t>
  </si>
  <si>
    <t>[VÍ DỤ MINH HOẠ] Nhân viên Nguyễn Văn A có Thu nhập tính thuế đúng bằng 10.000.000 đồng.</t>
  </si>
  <si>
    <t>1. Nhập/kiểm tra Thu nhập tính thuế là 10.000.000 đồng.
2. Chạy tính lương để ra Thuế TNCN.
3. Kiểm tra kết quả Thuế TNCN hiển thị trên hệ thống.</t>
  </si>
  <si>
    <t>Tại đúng mức 10.000.000 đồng, công thức bậc 1 (5%) và công thức bậc 2 (10% trừ 500.000) phải cho ra cùng một kết quả: Thuế TNCN = 500.000 đồng.</t>
  </si>
  <si>
    <t>PIT=500,000</t>
  </si>
  <si>
    <t>TC-CT-059</t>
  </si>
  <si>
    <t>[Thuế thu nhập cá nhân] Kiểm tra hệ thống tính đúng thuế TNCN ở bậc 3 (thu nhập tính thuế từ 30 đến 60 triệu đồng).</t>
  </si>
  <si>
    <t>[VÍ DỤ MINH HOẠ] Nhân viên Nguyễn Văn A có Thu nhập tính thuế là 45.000.000 đồng.</t>
  </si>
  <si>
    <t>1. Nhập/kiểm tra Thu nhập tính thuế là 45.000.000 đồng.
2. Chạy tính lương để ra Thuế TNCN.
3. Kiểm tra kết quả Thuế TNCN hiển thị trên hệ thống.</t>
  </si>
  <si>
    <t>Thuế TNCN = 5.500.000 đồng, tương ứng bậc 3 (thuế suất hiệu lực 20% trừ 3.500.000).</t>
  </si>
  <si>
    <t>PIT=5,500,000</t>
  </si>
  <si>
    <t>TC-CT-060</t>
  </si>
  <si>
    <t>[Thuế thu nhập cá nhân] Kiểm tra thuế TNCN tính ra đúng và khớp nhau tại đúng điểm chuyển bậc thuế từ bậc 4 sang bậc 5 (mức 100 triệu đồng).</t>
  </si>
  <si>
    <t>[VÍ DỤ MINH HOẠ] Nhân viên Nguyễn Văn A có Thu nhập tính thuế đúng bằng 100.000.000 đồng.</t>
  </si>
  <si>
    <t>1. Nhập/kiểm tra Thu nhập tính thuế là 100.000.000 đồng.
2. Chạy tính lương để ra Thuế TNCN.
3. Kiểm tra kết quả Thuế TNCN hiển thị trên hệ thống.</t>
  </si>
  <si>
    <t>Tại đúng mức 100.000.000 đồng, công thức bậc 4 (30% trừ 9.500.000) và công thức bậc 5 (35% trừ 14.500.000) phải cho ra cùng một kết quả: Thuế TNCN = 20.500.000 đồng.</t>
  </si>
  <si>
    <t>PIT=20,500,000</t>
  </si>
  <si>
    <t>TC-CT-061</t>
  </si>
  <si>
    <t>[Thuế thu nhập cá nhân] Kiểm tra hệ thống tính đúng thuế TNCN cho nhân viên người nước ngoài không có giấy phép lao động (work permit): áp dụng thuế suất cố định 20% trên thu nhập tính thuế, không dùng biểu thuế luỹ tiến.</t>
  </si>
  <si>
    <t>[VÍ DỤ MINH HOẠ] Trong kỳ lương, thu nhập tính thuế của Nguyễn Văn A là 50.000.000 đồng.</t>
  </si>
  <si>
    <t>1. Nhập dữ liệu thu nhập tính thuế cho nhân viên theo Test Data.
2. Chạy tính lương (hoặc để hệ thống tự tính) để ra số thuế TNCN.
3. Kiểm tra kết quả thuế TNCN hiển thị trên hệ thống, đối chiếu công thức 20% × thu nhập tính thuế.</t>
  </si>
  <si>
    <t>Hệ thống tính đúng thuế TNCN = 10.000.000 đồng (bằng 20% × 50.000.000). Vì là người nước ngoài không có work permit nên hệ thống áp dụng thuế suất cố định 20%, không dùng biểu thuế luỹ tiến từng phần dù mức thu nhập cao.</t>
  </si>
  <si>
    <t>PIT=10,000,000</t>
  </si>
  <si>
    <t>TC-CT-062</t>
  </si>
  <si>
    <t>[Thuế thu nhập cá nhân] Kiểm tra hệ thống tính đúng thuế TNCN cho nhân viên thực tập sinh (Intern) đã nộp giấy cam kết thuế: được miễn hoàn toàn.</t>
  </si>
  <si>
    <t>[VÍ DỤ MINH HOẠ] Trong kỳ lương, thu nhập tính thuế của Nguyễn Văn A là 8.000.000 đồng.</t>
  </si>
  <si>
    <t>1. Nhập dữ liệu thu nhập tính thuế cho nhân viên theo Test Data.
2. Chạy tính lương (hoặc để hệ thống tự tính) để ra số thuế TNCN.
3. Kiểm tra kết quả thuế TNCN hiển thị trên hệ thống.</t>
  </si>
  <si>
    <t>Hệ thống tính đúng thuế TNCN = 0 đồng (miễn hoàn toàn), vì nhân viên là Intern đã có giấy cam kết thuế — bất kể mức thu nhập là bao nhiêu.</t>
  </si>
  <si>
    <t>PIT=0</t>
  </si>
  <si>
    <t>TC-CT-063</t>
  </si>
  <si>
    <t>[Thuế thu nhập cá nhân] Kiểm tra hệ thống tính đúng thuế TNCN cho nhân viên thực tập sinh (Intern) CHƯA nộp giấy cam kết thuế, có thu nhập trên 5 triệu đồng: áp dụng thuế suất cố định 10%.</t>
  </si>
  <si>
    <t>[VÍ DỤ MINH HOẠ] Trong kỳ lương, thu nhập tính thuế của Nguyễn Văn A là 6.000.000 đồng (trên mức 5 triệu).</t>
  </si>
  <si>
    <t>1. Nhập dữ liệu thu nhập tính thuế cho nhân viên theo Test Data.
2. Chạy tính lương (hoặc để hệ thống tự tính) để ra số thuế TNCN.
3. Kiểm tra kết quả thuế TNCN hiển thị trên hệ thống, đối chiếu công thức 10% × thu nhập tính thuế.</t>
  </si>
  <si>
    <t>Hệ thống tính đúng thuế TNCN = 600.000 đồng (bằng 10% × 6.000.000).</t>
  </si>
  <si>
    <t>PIT=600,000</t>
  </si>
  <si>
    <t>TC-CT-064</t>
  </si>
  <si>
    <t>[Thuế thu nhập cá nhân] Kiểm tra biên chính xác của quy tắc Intern chưa cam kết thuế: khi thu nhập tính thuế đúng bằng 5 triệu đồng (không vượt), hệ thống phải miễn thuế chứ không tính 10%.</t>
  </si>
  <si>
    <t>[VÍ DỤ MINH HOẠ] Trong kỳ lương, thu nhập tính thuế của Nguyễn Văn A đúng bằng 5.000.000 đồng (bằng mốc 5 triệu, chưa vượt qua mốc).</t>
  </si>
  <si>
    <t>1. Nhập dữ liệu thu nhập tính thuế đúng bằng mốc 5.000.000 đồng cho nhân viên.
2. Chạy tính lương (hoặc để hệ thống tự tính) để ra số thuế TNCN.
3. Kiểm tra kết quả thuế TNCN hiển thị trên hệ thống ngay tại mốc 5 triệu này.</t>
  </si>
  <si>
    <t>Hệ thống tính đúng thuế TNCN = 0 đồng, vì điều kiện chịu thuế 10% là thu nhập tính thuế PHẢI VƯỢT 5.000.000 đồng — đúng bằng 5 triệu chưa đủ điều kiện, chỉ cần thu nhập từ 5.000.001 đồng trở lên mới bắt đầu chịu thuế 10%. Đây là phép kiểm tra chính xác điểm mốc (lớn hơn, chứ không phải lớn hơn hoặc bằng).</t>
  </si>
  <si>
    <t>TC-CT-065</t>
  </si>
  <si>
    <t>[Thuế thu nhập cá nhân] Đối chiếu công thức thuế TNCN đang cấu hình trong hệ thống với biểu thuế TNCN vừa được bổ sung trong tài liệu yêu cầu mới nhất, để xác nhận hai nguồn khớp tuyệt đối với nhau.</t>
  </si>
  <si>
    <t>So sánh 5 mốc thu nhập và mức thuế suất tương ứng của công thức đang cấu hình trong hệ thống với bảng thuế suất trong tài liệu (đến 10 triệu: 5%; trên 10-30 triệu: 10%; trên 30-60 triệu: 20%; trên 60-100 triệu: 30%; trên 100 triệu: 35%).</t>
  </si>
  <si>
    <t>Đây là phép kiểm tra đối chiếu tài liệu, KHÔNG phải thao tác trên hệ thống. 1. Lấy công thức thuế TNCN đang cấu hình trong hệ thống. 2. Lấy bảng biểu thuế suất trong tài liệu yêu cầu mới nhất. 3. So sánh từng cặp mốc thu nhập và thuế suất giữa hai nguồn.</t>
  </si>
  <si>
    <t>Ở lần đối chiếu này, hai nguồn KHỚP nhau về mốc thu nhập và thuế suất (đã được xác nhận thêm qua các trường hợp kiểm tra tại đúng điểm mốc ở trên). Tuy nhiên, vì phía HR CHƯA chính thức xác nhận bằng văn bản, test case này PHẢI giữ trạng thái 'chờ xác nhận chính thức bằng văn bản', KHÔNG được tự động coi là đã hoàn tất/đóng.</t>
  </si>
  <si>
    <t>TC-CT-066</t>
  </si>
  <si>
    <t>[Thuế thu nhập cá nhân] Kiểm tra hệ thống cộng đúng phần điều chỉnh thuế vào Tổng thuế TNCN đã khấu trừ.</t>
  </si>
  <si>
    <t>[VÍ DỤ MINH HOẠ] Trong kỳ lương, thuế TNCN của Nguyễn Văn A là 5.500.000 đồng, có thêm khoản điều chỉnh giảm thuế TNCN là -200.000 đồng (điều chỉnh giảm do quyết toán).</t>
  </si>
  <si>
    <t>1. Nhập số thuế TNCN và khoản điều chỉnh thuế TNCN cho nhân viên theo Test Data.
2. Chạy tính lương (hoặc để hệ thống tự tính) để ra Tổng thuế TNCN đã khấu trừ.
3. Kiểm tra kết quả Tổng thuế TNCN đã khấu trừ hiển thị trên hệ thống.</t>
  </si>
  <si>
    <t>Hệ thống tính đúng Tổng thuế TNCN đã khấu trừ = 5.300.000 đồng (bằng 5.500.000 + (-200.000)).</t>
  </si>
  <si>
    <t>PIT_ADJ=-200,000; TOTAL_PIT=5,300,000</t>
  </si>
  <si>
    <t>TC-CT-096</t>
  </si>
  <si>
    <t>[Thuế thu nhập cá nhân] Phát hiện khoảng trống (gap): công thức thuế TNCN hiện tại chỉ phân biệt theo 'người nước ngoài không có work permit' và 'Intern', hoàn toàn không xét đến Loại hợp đồng. Vì vậy một nhân viên Thử việc (không được gắn nhãn Intern) sẽ bị tính thuế theo biểu luỹ tiến đầy đủ giống hệt nhân viên Chính thức, thay vì mức thuế suất cố định 10% mà tài liệu yêu cầu mới nhất mô tả cho nhóm 'hợp đồng dưới 3 tháng/lao động vãng lai'.</t>
  </si>
  <si>
    <t>[VÍ DỤ MINH HOẠ] Nguyễn Văn A có thu nhập tính thuế 8.000.000 đồng trong kỳ, loại hợp đồng là Thử việc, không được gắn nhãn Intern, và không phải người nước ngoài không có work permit.</t>
  </si>
  <si>
    <t>1. Nhập dữ liệu nhân viên theo đúng Test Data ở trên. 2. Tính thuế TNCN theo đúng công thức đang cấu hình trong hệ thống hiện nay (sẽ rơi vào nhánh biểu thuế luỹ tiến vì không khớp 2 điều kiện đầu). 3. So sánh kết quả này với kết quả NẾU áp dụng mức thuế suất cố định 10% (giống cách tính cho Intern) trên cùng mức thu nhập.</t>
  </si>
  <si>
    <t>Theo công thức đang chạy trong hệ thống hiện nay: thuế TNCN tính ra = 400.000 đồng (rơi vào bậc 1, thuế suất 5% — tính y hệt như một nhân viên Chính thức). Nhưng NẾU áp dụng đúng tinh thần 'hợp đồng dưới 3 tháng/lao động vãng lai chịu thuế cố định 10%' mà tài liệu yêu cầu mới nhất mô tả, thì thuế TNCN đúng ra phải là 800.000 đồng — HAI CÁCH TÍNH RA HAI KẾT QUẢ KHÁC NHAU. Khoảng trống này liên quan trực tiếp tới một phát hiện khác (TC-CT-051: nhân viên Thử việc đang không được giảm trừ bản thân): công thức hiện tại khiến nhân viên Thử việc vừa không được giảm trừ bản thân, vừa không được hưởng mức thuế cố định 10% dành cho lao động ngắn hạn. Cần bộ phận Nghiệp vụ/Thuế xác nhận khẩn cấp quy tắc thuế TNCN đúng cho nhân viên Thử việc là gì, trước khi coi phần thuế TNCN của Giai đoạn 1 là đã hoàn tất.</t>
  </si>
  <si>
    <t>TC-CT-098</t>
  </si>
  <si>
    <t>[Thuế thu nhập cá nhân] Kiểm tra hệ thống tính đúng thuế TNCN cho nhân viên Chính thức ở bậc thuế thứ 2 (thu nhập trên 10 đến 30 triệu đồng) — trước đây chưa có test case nào kiểm tra riêng bậc này.</t>
  </si>
  <si>
    <t>[VÍ DỤ MINH HOẠ] Trong kỳ lương, thu nhập tính thuế của Nguyễn Văn A là 20.000.000 đồng.</t>
  </si>
  <si>
    <t>1. Nhập thu nhập tính thuế = 20.000.000 đồng cho nhân viên.
2. Chạy tính lương (hoặc để hệ thống tự tính) để ra số thuế TNCN.
3. Kiểm tra kết quả thuế TNCN hiển thị trên hệ thống.</t>
  </si>
  <si>
    <t>Hệ thống tính đúng thuế TNCN = 1.500.000 đồng (rơi vào bậc 2, tương đương công thức rút gọn 10% × thu nhập tính thuế − 500.000).</t>
  </si>
  <si>
    <t>PIT=1,500,000</t>
  </si>
  <si>
    <t>TC-CT-099</t>
  </si>
  <si>
    <t>[Thuế thu nhập cá nhân] Kiểm tra hệ thống tính đúng thuế TNCN đúng tại điểm chuyển bậc từ bậc 2 sang bậc 3 (mốc 30 triệu đồng) — công thức của hai bậc liền kề phải cho cùng một kết quả tại đúng điểm mốc này. Trước đây chưa có test case nào kiểm tra riêng điểm mốc này.</t>
  </si>
  <si>
    <t>[VÍ DỤ MINH HOẠ] Trong kỳ lương, thu nhập tính thuế của Nguyễn Văn A đúng bằng 30.000.000 đồng.</t>
  </si>
  <si>
    <t>1. Nhập thu nhập tính thuế = 30.000.000 đồng (đúng tại điểm chuyển giữa bậc 2 và bậc 3) cho nhân viên.
2. Chạy tính lương (hoặc để hệ thống tự tính) để ra số thuế TNCN.
3. Kiểm tra kết quả thuế TNCN hiển thị trên hệ thống.</t>
  </si>
  <si>
    <t>Công thức bậc 2 (10% × 30.000.000 − 500.000) và công thức bậc 3 (20% × 30.000.000 − 3.500.000) đều cho cùng kết quả là 2.500.000 đồng — khớp nhau đúng tại điểm chuyển bậc. Vậy hệ thống phải tính đúng thuế TNCN = 2.500.000 đồng.</t>
  </si>
  <si>
    <t>PIT=2,500,000</t>
  </si>
  <si>
    <t>TC-CT-100</t>
  </si>
  <si>
    <t>[Thuế thu nhập cá nhân] Kiểm tra hệ thống tính đúng thuế TNCN đúng tại điểm chuyển bậc từ bậc 3 sang bậc 4 (mốc 60 triệu đồng) — trước đây chưa có test case nào kiểm tra riêng điểm mốc này.</t>
  </si>
  <si>
    <t>[VÍ DỤ MINH HOẠ] Trong kỳ lương, thu nhập tính thuế của Nguyễn Văn A đúng bằng 60.000.000 đồng.</t>
  </si>
  <si>
    <t>1. Nhập thu nhập tính thuế = 60.000.000 đồng (đúng tại điểm chuyển giữa bậc 3 và bậc 4) cho nhân viên.
2. Chạy tính lương (hoặc để hệ thống tự tính) để ra số thuế TNCN.
3. Kiểm tra kết quả thuế TNCN hiển thị trên hệ thống.</t>
  </si>
  <si>
    <t>Công thức bậc 3 (20% × 60.000.000 − 3.500.000) và công thức bậc 4 (30% × 60.000.000 − 9.500.000) đều cho cùng kết quả là 8.500.000 đồng — khớp nhau đúng tại điểm chuyển bậc. Vậy hệ thống phải tính đúng thuế TNCN = 8.500.000 đồng.</t>
  </si>
  <si>
    <t>PIT=8,500,000</t>
  </si>
  <si>
    <t>TC-CT-101</t>
  </si>
  <si>
    <t>[Thuế thu nhập cá nhân] Kiểm tra hệ thống tính đúng thuế TNCN cho nhân viên Chính thức ở bậc thuế thứ 4 (thu nhập trên 60 đến 100 triệu đồng) — trước đây bậc này chỉ được kiểm tra tại điểm mốc 100 triệu, chưa có test case nào kiểm tra riêng nội bộ bậc.</t>
  </si>
  <si>
    <t>[VÍ DỤ MINH HOẠ] Trong kỳ lương, thu nhập tính thuế của Nguyễn Văn A là 80.000.000 đồng.</t>
  </si>
  <si>
    <t>1. Nhập thu nhập tính thuế = 80.000.000 đồng cho nhân viên.
2. Chạy tính lương (hoặc để hệ thống tự tính) để ra số thuế TNCN.
3. Kiểm tra kết quả thuế TNCN hiển thị trên hệ thống.</t>
  </si>
  <si>
    <t>Hệ thống tính đúng thuế TNCN = 14.500.000 đồng (rơi vào bậc 4, tương đương công thức rút gọn 30% × thu nhập tính thuế − 9.500.000).</t>
  </si>
  <si>
    <t>PIT=14,500,000</t>
  </si>
  <si>
    <t>TC-CT-102</t>
  </si>
  <si>
    <t>[Thuế thu nhập cá nhân] Kiểm tra hệ thống tính đúng thuế TNCN cho nhân viên Chính thức ở bậc thuế cao nhất (bậc 5, thu nhập trên 100 triệu đồng, thuế suất 35%) — trước đây chưa từng có test case nào rơi vào bậc cao nhất này.</t>
  </si>
  <si>
    <t>[VÍ DỤ MINH HOẠ] Trong kỳ lương, thu nhập tính thuế của Nguyễn Văn A là 150.000.000 đồng.</t>
  </si>
  <si>
    <t>1. Nhập thu nhập tính thuế = 150.000.000 đồng cho nhân viên.
2. Chạy tính lương (hoặc để hệ thống tự tính) để ra số thuế TNCN.
3. Kiểm tra kết quả thuế TNCN hiển thị trên hệ thống.</t>
  </si>
  <si>
    <t>Hệ thống tính đúng thuế TNCN = 38.000.000 đồng (rơi vào bậc 5, tương đương công thức rút gọn 35% × thu nhập tính thuế − 14.500.000).</t>
  </si>
  <si>
    <t>PASS</t>
  </si>
  <si>
    <t>PIT=38,000,000</t>
  </si>
  <si>
    <t>TC-CT-127</t>
  </si>
  <si>
    <t>[Thuế thu nhập cá nhân] [Chờ dựng] Trường hợp nhân viên có đồng thời thu nhập từ Việt Nam và thu nhập từ nguồn nước ngoài trong cùng một kỳ lương — cần bổ sung yêu cầu trước khi có thể thiết kế test case đầy đủ.</t>
  </si>
  <si>
    <t>[VÍ DỤ MINH HOẠ] Nguyễn Văn A có lương chính thức tại Việt Nam là 20.000.000 đồng, và thu nhập từ nguồn nước ngoài là 15.000.000 đồng (số liệu giả định, đơn vị tiền tệ và tỷ giá quy đổi cần bộ phận Nghiệp vụ xác nhận). Nguyễn Văn A là người nước ngoài.</t>
  </si>
  <si>
    <t>Chưa thể xác định các bước kiểm tra cụ thể — cần bổ sung yêu cầu nghiệp vụ trước.</t>
  </si>
  <si>
    <t>Chưa thể xác định kết quả mong đợi — cần bổ sung yêu cầu nghiệp vụ trước.</t>
  </si>
  <si>
    <t>TC-CT-128</t>
  </si>
  <si>
    <t>[Thuế thu nhập cá nhân] [Chờ dựng] Hai ngưỡng quan trọng còn thiếu căn cứ pháp lý xác nhận: mức thu nhập bắt đầu khấu trừ 10% cho lao động vãng lai/hợp đồng dưới 3 tháng, và mức miễn thuế của phụ cấp ăn.</t>
  </si>
  <si>
    <t>Chưa có, cần chờ xác nhận căn cứ pháp lý ở trên.</t>
  </si>
  <si>
    <t>Chưa thể xác định các bước kiểm tra cụ thể — cần bổ sung căn cứ pháp lý trước.</t>
  </si>
  <si>
    <t>Chưa thể xác định kết quả mong đợi — cần bổ sung căn cứ pháp lý trước.</t>
  </si>
  <si>
    <t>TC-CT-129</t>
  </si>
  <si>
    <t>[Thuế thu nhập cá nhân] [Chờ dựng] Hai câu hỏi mở: quy tắc thuế TNCN cho người nước ngoài cư trú/không cư trú, và việc áp dụng kinh phí công đoàn cho nhân viên thử việc.</t>
  </si>
  <si>
    <t>Chưa có, cần chờ câu trả lời chính thức ở trên.</t>
  </si>
  <si>
    <t>Chưa thể xác định các bước kiểm tra cụ thể — cần bổ sung câu trả lời từ HR/Pháp chế trước.</t>
  </si>
  <si>
    <t>Một nửa câu hỏi ĐÃ có câu trả lời: HR xác nhận kinh phí công đoàn phía công ty (2%) áp dụng CẢ cho nhân viên thử việc (xem thêm test case TC-CT-081 và TC-CT-131). Phần còn lại — thuế TNCN cho người nước ngoài cư trú/không cư trú — vẫn CHƯA có câu trả lời, cần bộ phận Pháp chế/HR xác nhận trước khi thiết kế test case cho phần này.</t>
  </si>
  <si>
    <t>TC-CT-130</t>
  </si>
  <si>
    <t>[Thuế thu nhập cá nhân] [Chờ dựng] Cần làm rõ phạm vi miễn thuế cho tiền tăng ca: miễn toàn bộ hay chỉ miễn phần trả thêm so với ngày thường.</t>
  </si>
  <si>
    <t>Chưa có, cần chờ xác nhận công thức đúng ở trên.</t>
  </si>
  <si>
    <t>Chưa thể xác định các bước kiểm tra cụ thể — cần bổ sung xác nhận từ Pháp chế trước.</t>
  </si>
  <si>
    <t>Chưa thể xác định kết quả mong đợi — cần bổ sung xác nhận từ Pháp chế trước.</t>
  </si>
  <si>
    <t>◆ 10 · Lương thực nhận cuối cùng</t>
  </si>
  <si>
    <t>TC-CT-067</t>
  </si>
  <si>
    <t>[Lương thực nhận cuối cùng] Kiểm tra hệ thống tính đúng Thu nhập thuần bằng Tổng thu nhập trong tháng trừ đi Tổng BHXH nhân viên đóng và Tổng thuế TNCN đã khấu trừ.</t>
  </si>
  <si>
    <t>[VÍ DỤ MINH HOẠ] Trong kỳ lương, Nguyễn Văn A có Tổng thu nhập trong tháng là 61.887.692 đồng, Tổng BHXH nhân viên đóng là 2.050.000 đồng, và Tổng thuế TNCN đã khấu trừ là 5.300.000 đồng.</t>
  </si>
  <si>
    <t>1. Nhập các số liệu Tổng thu nhập trong tháng, Tổng BHXH nhân viên, Tổng thuế TNCN đã khấu trừ theo Test Data.
2. Chạy tính lương (hoặc để hệ thống tự tính) để ra Thu nhập thuần.
3. Kiểm tra kết quả Thu nhập thuần hiển thị trên hệ thống.</t>
  </si>
  <si>
    <t>Hệ thống tính đúng Thu nhập thuần = 54.537.692 đồng (bằng 61.887.692 − 2.050.000 − 5.300.000).</t>
  </si>
  <si>
    <t>NET_INCOME=54,537,692</t>
  </si>
  <si>
    <t>TC-CT-068</t>
  </si>
  <si>
    <t>[Lương thực nhận cuối cùng] Kiểm tra hệ thống tính đúng phí công đoàn của người lao động, bằng 0,5% trên mức lương đóng BHXH, có giới hạn mức trần tối đa 253.000 đồng.</t>
  </si>
  <si>
    <t>[VÍ DỤ MINH HOẠ] Mức lương đóng BHXH, BHYT của Nguyễn Văn A trong kỳ là 20.000.000 đồng.</t>
  </si>
  <si>
    <t>1. Nhập Mức lương đóng BHXH, BHYT theo Test Data.
2. Chạy tính lương (hoặc để hệ thống tự tính) để ra Phí công đoàn (0,5%).
3. Kiểm tra kết quả Phí công đoàn hiển thị trên hệ thống, đối chiếu công thức lấy số nhỏ hơn giữa (0,5% × mức lương đóng BHXH) và mức trần 253.000 đồng.</t>
  </si>
  <si>
    <t>Hệ thống tính đúng Phí công đoàn (0,5%) = 100.000 đồng (vì 0,5% × 20.000.000 = 100.000, nhỏ hơn mức trần 253.000 nên lấy 100.000).</t>
  </si>
  <si>
    <t>UNION_FEE=100,000</t>
  </si>
  <si>
    <t>TC-CT-069</t>
  </si>
  <si>
    <t>[Lương thực nhận cuối cùng] Kiểm tra hệ thống chặn đúng phí công đoàn ở mức trần 253.000 đồng khi mức lương đóng BHXH cao.</t>
  </si>
  <si>
    <t>[VÍ DỤ MINH HOẠ] Mức lương đóng BHXH, BHYT của Nguyễn Văn A đúng bằng mức trần quy định là 50.600.000 đồng.</t>
  </si>
  <si>
    <t>1. Nhập Mức lương đóng BHXH, BHYT = 50.600.000 đồng (đúng mức trần) cho nhân viên.
2. Chạy tính lương (hoặc để hệ thống tự tính) để ra Phí công đoàn (0,5%).
3. Kiểm tra kết quả Phí công đoàn hiển thị trên hệ thống.</t>
  </si>
  <si>
    <t>Hệ thống tính đúng Phí công đoàn (0,5%) = 253.000 đồng (đúng bằng mức trần, không vượt quá), vì 0,5% × 50.600.000 = 253.000 cũng đúng bằng mức trần. Lưu ý: công thức đang chạy thực tế trên hệ thống hiện dùng 0,5% × Lương chính thức (100%) và KHÔNG có chặn trần, khác với công thức tham số chuẩn có chặn trần này — đây là một điểm khác biệt giữa hai cách tính cần được rà soát thêm.</t>
  </si>
  <si>
    <t>UNION_FEE=253,000</t>
  </si>
  <si>
    <t>TC-CT-070</t>
  </si>
  <si>
    <t>[Lương thực nhận cuối cùng] Kiểm tra hệ thống phân biệt rõ hai khoản: kinh phí công đoàn 2% do công ty đóng và phí công đoàn 0,5% do người lao động đóng, không bị gộp nhầm với nhau.</t>
  </si>
  <si>
    <t>1. Nhập Mức lương đóng BHXH, BHYT theo Test Data.
2. Chạy tính lương (hoặc để hệ thống tự tính) để ra hai khoản: Phí công đoàn (0,5%) và 2% KPCĐ Cty.
3. Kiểm tra trên payslip/màn hình kết quả rằng hai khoản này hiển thị tách biệt rõ ràng, không bị gộp lẫn nhau.</t>
  </si>
  <si>
    <t>Hệ thống tính đúng hai khoản độc lập: Phí công đoàn (0,5%) = 100.000 đồng (khoản này bị trừ vào Lương thực nhận của người lao động), và 2% KPCĐ Cty = 400.000 đồng (khoản này là chi phí của công ty, KHÔNG trừ vào lương người lao động). Hai khoản này phải hiển thị thành hai dòng tách biệt rõ ràng trên phiếu lương.</t>
  </si>
  <si>
    <t>TC-CT-071</t>
  </si>
  <si>
    <t>[Lương thực nhận cuối cùng] Kiểm tra hệ thống cộng/trừ đúng các khoản phát sinh ngoài chu kỳ lương chuẩn vào Tổng cộng sau thuế và Tổng trừ sau thuế.</t>
  </si>
  <si>
    <t>[VÍ DỤ MINH HOẠ] Trong kỳ lương, Nguyễn Văn A có khoản Chế độ BHXH (tiền BHXH chi trả) là 500.000 đồng, Phí công đoàn (0,5%) là 100.000 đồng, và khoản Thu hộ bảo hiểm Bảo Việt là 200.000 đồng.</t>
  </si>
  <si>
    <t>1. Nhập các khoản theo Test Data.
2. Chạy tính lương (hoặc để hệ thống tự tính) để ra Tổng cộng sau thuế và Tổng trừ sau thuế.
3. Kiểm tra kết quả hai khoản này hiển thị riêng biệt trên hệ thống.</t>
  </si>
  <si>
    <t>Hệ thống tính đúng Tổng cộng sau thuế = 500.000 đồng (từ khoản Chế độ BHXH); Tổng trừ sau thuế = 300.000 đồng (bằng 100.000 phí công đoàn cộng 200.000 thu hộ bảo hiểm Bảo Việt).</t>
  </si>
  <si>
    <t>TOTAL_POST_ADD=500,000; TOTAL_POST_DED=300,000</t>
  </si>
  <si>
    <t>TC-CT-072</t>
  </si>
  <si>
    <t>[Lương thực nhận cuối cùng] Kiểm tra hệ thống tính đúng Lương thực nhận bằng cách lấy Tổng thu nhập trong tháng, trừ đi Tổng BHXH nhân viên, Tổng thuế TNCN đã khấu trừ, Tổng trừ sau thuế, rồi cộng thêm Tổng cộng sau thuế.</t>
  </si>
  <si>
    <t>[VÍ DỤ MINH HOẠ] Trong kỳ lương, Nguyễn Văn A có Tổng thu nhập trong tháng là 61.887.692 đồng, Tổng BHXH nhân viên đóng là 2.050.000 đồng, Tổng thuế TNCN đã khấu trừ là 5.300.000 đồng, Tổng trừ sau thuế là 300.000 đồng, và Tổng cộng sau thuế là 500.000 đồng.</t>
  </si>
  <si>
    <t>1. Nhập các số liệu theo Test Data.
2. Chạy tính lương (hoặc để hệ thống tự tính) để ra Lương thực nhận (VND).
3. Kiểm tra kết quả Lương thực nhận hiển thị trên hệ thống.</t>
  </si>
  <si>
    <t>Hệ thống tính đúng Lương thực nhận (VND) = 54.737.692 đồng (bằng 61.887.692 − 2.050.000 − 5.300.000 − 300.000 + 500.000).</t>
  </si>
  <si>
    <t>NET_PAY=54,737,692</t>
  </si>
  <si>
    <t>TC-CT-073</t>
  </si>
  <si>
    <t>[Lương thực nhận cuối cùng] Kiểm tra hệ thống làm tròn đúng Lương thực chi về số nguyên đồng (VND), không còn phần thập phân.</t>
  </si>
  <si>
    <t>[VÍ DỤ MINH HOẠ] Lương thực nhận (VND) của Nguyễn Văn A trước khi làm tròn là 54.737.692,4 đồng (có phần thập phân do làm tròn ở các bước tính trung gian).</t>
  </si>
  <si>
    <t>1. Nhập/để hệ thống tính ra Lương thực nhận (VND) có phần thập phân theo Test Data.
2. Chạy tính lương (hoặc để hệ thống tự tính) để ra Lương thực chi (VND) đã làm tròn.
3. Kiểm tra kết quả Lương thực chi hiển thị trên hệ thống là số nguyên.</t>
  </si>
  <si>
    <t>Hệ thống tính đúng Lương thực chi (VND) = 54.737.692 đồng (đã làm tròn về số nguyên, bỏ phần thập phân).</t>
  </si>
  <si>
    <t>NET_PAY_HOME=54,737,692</t>
  </si>
  <si>
    <t>TC-CT-074</t>
  </si>
  <si>
    <t>[Lương thực nhận cuối cùng] Kiểm tra hệ thống tính đúng Lương thực chi đợt 2 sau khi trừ đi khoản tạm ứng/lương đã chi đợt 1.</t>
  </si>
  <si>
    <t>[VÍ DỤ MINH HOẠ] Lương thực nhận (VND) của Nguyễn Văn A là 54.737.692 đồng, đã tạm ứng/nhận lương đợt 1 là 10.000.000 đồng.</t>
  </si>
  <si>
    <t>1. Nhập Lương thực nhận (VND) và khoản Tạm ứng/Lương thực chi đợt 1 theo Test Data.
2. Chạy tính lương (hoặc để hệ thống tự tính) để ra Lương thực chi đợt 2.
3. Kiểm tra kết quả Lương thực chi đợt 2 hiển thị trên hệ thống.</t>
  </si>
  <si>
    <t>Hệ thống tính đúng Lương thực chi đợt 2 = 44.737.692 đồng (bằng 54.737.692 − 10.000.000).</t>
  </si>
  <si>
    <t>NET_PAY_2=44,737,692</t>
  </si>
  <si>
    <t>TC-CT-075</t>
  </si>
  <si>
    <t>[Lương thực nhận cuối cùng] Kiểm tra cách hệ thống xử lý Lương thực chi đợt 2 khi số tiền tạm ứng đã nhận vượt quá Lương thực nhận trong kỳ (kết quả bị âm).</t>
  </si>
  <si>
    <t>[VÍ DỤ MINH HOẠ] Lương thực nhận (VND) của Nguyễn Văn A trong kỳ là 5.000.000 đồng, nhưng đã tạm ứng/nhận lương đợt 1 tới 8.000.000 đồng (tạm ứng vượt lương của kỳ này).</t>
  </si>
  <si>
    <t>1. Nhập Lương thực nhận (VND) và khoản Tạm ứng/Lương thực chi đợt 1 theo Test Data (trong đó tạm ứng lớn hơn lương thực nhận).
2. Chạy tính lương (hoặc để hệ thống tự tính) để ra Lương thực chi đợt 2.
3. Kiểm tra kết quả Lương thực chi đợt 2 hiển thị trên hệ thống.</t>
  </si>
  <si>
    <t>Theo công thức hiện tại, Lương thực chi đợt 2 = -3.000.000 đồng (số ÂM, vì 5.000.000 − 8.000.000). Cần bộ phận Nghiệp vụ xác nhận rõ hệ thống nên xử lý số âm này như thế nào: trừ tiếp vào kỳ lương sau hay báo lỗi/chặn lại.</t>
  </si>
  <si>
    <t>NET_PAY_2=-3,000,000</t>
  </si>
  <si>
    <t>TC-CT-107</t>
  </si>
  <si>
    <t>[Lương thực nhận cuối cùng] Phát hiện khoảng trống (gap): công thức Lương thực nhận hiện tại không có cơ chế chặn ở mức 0, có thể cho ra kết quả âm.</t>
  </si>
  <si>
    <t>[VÍ DỤ MINH HOẠ] Trong kỳ lương, Nguyễn Văn A có Tổng thu nhập trong tháng là 15.000.000 đồng, Tổng BHXH nhân viên đóng là 1.700.000 đồng, Tổng thuế TNCN đã khấu trừ là 500.000 đồng, Tổng trừ sau thuế là 20.000.000 đồng (giả định có khoản thu hồi lớn), và Tổng cộng sau thuế là 0 đồng.</t>
  </si>
  <si>
    <t>1. Nhập các số liệu theo Test Data.
2. Chạy tính lương theo đúng công thức đang cấu hình hiện tại trong hệ thống (không thêm bất kỳ giới hạn chặn dưới nào ngoài công thức gốc).
3. Kiểm tra kết quả Lương thực nhận hiển thị trên hệ thống.</t>
  </si>
  <si>
    <t>Theo công thức hiện tại: Lương thực nhận = 15.000.000 − 1.700.000 − 500.000 − 20.000.000 + 0 = −7.200.000 đồng (số ÂM). Công thức tính Lương thực nhận hiện không có cơ chế chặn ở mức 0 giống như công thức tính Thu nhập tính thuế (công thức kia luôn chặn không cho về số âm) — hai công thức tính toán tiền trong cùng chuỗi nghiệp vụ nhưng lại không nhất quán về việc có chặn số âm hay không. Chưa rõ đây là hành vi ĐÚNG theo nghiệp vụ (nhân viên nợ công ty, số âm được mang sang kỳ lương sau qua cơ chế hoàn trả dần — xem TC-CT-104) hay là một khoảng trống cần chặn ở mức 0 và xử lý phần âm bằng một khoản mục điều chỉnh riêng. Cần bộ phận Nghiệp vụ xác nhận trước khi coi công thức Lương thực nhận của Giai đoạn 1 là hoàn chỉnh; liên quan trực tiếp tới TC-CT-075 (Lương thực chi đợt 2 bị âm khi tạm ứng vượt lương thực nhận — cùng chủ đề số âm nhưng ở bước khác) và TC-CT-104 (cơ chế hoàn trả lương lùi kỳ).</t>
  </si>
  <si>
    <t>NET_PAY=-7,200,000</t>
  </si>
  <si>
    <t>◆ 11 · Bảo hiểm &amp; Kinh phí công đoàn</t>
  </si>
  <si>
    <t>TC-CT-131</t>
  </si>
  <si>
    <t>[Bảo hiểm &amp; Kinh phí công đoàn] Kiểm tra hệ thống áp dụng đúng kinh phí công đoàn 2% (phía công ty) cho lao động thử việc, theo xác nhận mới nhất từ HR.</t>
  </si>
  <si>
    <t>[VÍ DỤ MINH HOẠ] Lương chính thức (100%) dùng làm căn cứ tính của Nguyễn Văn A trong kỳ thử việc là 17.000.000 đồng.</t>
  </si>
  <si>
    <t>1. Nhập Lương chính thức (100%) theo Test Data cho nhân viên thử việc.
2. Chạy tính lương (hoặc để hệ thống tự tính) để ra khoản 2% KPCĐ Cty.
3. Kiểm tra kết quả 2% KPCĐ Cty hiển thị trên hệ thống, đối chiếu với xác nhận mới nhất từ HR.</t>
  </si>
  <si>
    <t>Hệ thống tính đúng 2% KPCĐ Cty = 340.000 đồng (bằng 2% × 17.000.000), áp dụng CẢ cho nhân viên thử việc, không phân biệt theo loại hợp đồng — đúng theo xác nhận mới nhất từ HR, không còn mâu thuẫn với câu trả lời trước đó. Cùng phát hiện với test case TC-CT-081.</t>
  </si>
  <si>
    <t>KPCD_CTY=0 — CONFIRMED BUG (khớp đúng ghi nhận cũ): KPCD_CTY=[INS_SAL_BH]*0.02, INS_SAL_BH=0 khi Thử việc → KPCD_CTY=0, chưa áp dụng quyết định HR mới (áp dụng cả Thử việc).</t>
  </si>
  <si>
    <t>◆ 11 · Bảo hiểm xã hội &amp; kinh phí công đoàn — phần công ty đóng</t>
  </si>
  <si>
    <t>TC-CT-076</t>
  </si>
  <si>
    <t>[Bảo hiểm xã hội &amp; kinh phí công đoàn (phần công ty đóng)] Phát hiện khoảng trống (gap): công thức đang chạy thực tế trên hệ thống dùng mức trần 46.800.000 đồng để tính BHXH công ty đóng, trong khi mức trần đóng BHXH/BHYT đúng theo quy định hiện hành là 50.600.000 đồng — khác với mức trần dùng ở mọi công thức khác trong cùng nhóm.</t>
  </si>
  <si>
    <t>[VÍ DỤ MINH HOẠ] Lương chính thức (100%) của Nguyễn Văn A là 48.000.000 đồng (nằm giữa hai mức trần 46,8 triệu và 50,6 triệu đồng).</t>
  </si>
  <si>
    <t>1. Nhập Lương chính thức (100%) theo Test Data.
2. Tính khoản BHXH Cty 17% theo cả hai cách: công thức đang chạy thực tế trên hệ thống (dùng trần 46,8 triệu đồng) và công thức đúng theo quy định (dùng trần 50,6 triệu đồng).
3. So sánh hai kết quả.</t>
  </si>
  <si>
    <t>Nếu hệ thống vẫn dùng công thức CŨ (chưa cập nhật), kết quả SẼ SAI: lấy số nhỏ hơn giữa 48.000.000 và mức trần 46.800.000 (ra 46.800.000), nhân 17% = 7.956.000 đồng. Kết quả ĐÚNG cần thấy (theo công thức đã chốt, dùng đúng mức trần 50.600.000): lấy số nhỏ hơn giữa 48.000.000 và 50.600.000 (ra 48.000.000, vì chưa vượt trần), nhân 17% = 8.160.000 đồng — CHÊNH LỆCH 204.000 đồng/người/tháng do công thức cũ dùng sai mức trần.</t>
  </si>
  <si>
    <t>SI_CTY=8,160,000</t>
  </si>
  <si>
    <t>TC-CT-077</t>
  </si>
  <si>
    <t>[Bảo hiểm xã hội &amp; kinh phí công đoàn (phần công ty đóng)] Cùng phát hiện khoảng trống về mức trần 46,8 triệu như ở khoản BHXH Cty 17% — áp dụng tương tự cho khoản BHYT công ty 3%.</t>
  </si>
  <si>
    <t>[VÍ DỤ MINH HOẠ] Lương chính thức (100%) của Nguyễn Văn A là 48.000.000 đồng.</t>
  </si>
  <si>
    <t>1. Nhập Lương chính thức (100%) theo Test Data.
2. Tính khoản BHYT Cty 3% theo cả hai cách: công thức đang chạy thực tế trên hệ thống (dùng trần 46,8 triệu đồng) và công thức đúng theo quy định (dùng trần 50,6 triệu đồng).
3. So sánh hai kết quả.</t>
  </si>
  <si>
    <t>Nếu hệ thống vẫn dùng công thức CŨ (chưa cập nhật), kết quả SẼ SAI: lấy số nhỏ hơn giữa 48.000.000 và mức trần 46.800.000 (ra 46.800.000), nhân 3% = 1.404.000 đồng. Kết quả ĐÚNG cần thấy (theo công thức đã chốt, dùng đúng mức trần 50.600.000): lấy số nhỏ hơn giữa 48.000.000 và 50.600.000 (ra 48.000.000), nhân 3% = 1.440.000 đồng — CHÊNH LỆCH 36.000 đồng.</t>
  </si>
  <si>
    <t>HI_CTY=1,440,000</t>
  </si>
  <si>
    <t>TC-CT-078</t>
  </si>
  <si>
    <t>[Bảo hiểm xã hội &amp; kinh phí công đoàn (phần công ty đóng)] Kiểm tra khoản Bảo hiểm tai nạn lao động - bệnh nghề nghiệp (BHTNLĐ-BNN) công ty 0,5% được tính đúng trên mức trần đóng BHXH/BHYT — công thức này KHÔNG bị lệch trần như hai khoản BHXH Cty 17% và BHYT Cty 3% dù cùng nhóm bảo hiểm.</t>
  </si>
  <si>
    <t>1. Nhập Lương chính thức (100%) theo Test Data.
2. Chạy tính lương (hoặc để hệ thống tự tính) để ra khoản BHTNLĐ-BNN Cty 0,5%.
3. Kiểm tra kết quả hiển thị trên hệ thống, đối chiếu công thức lấy số nhỏ hơn giữa lương và mức trần đóng BHXH/BHYT, rồi nhân 0,5%.</t>
  </si>
  <si>
    <t>Hệ thống tính đúng BHTNLĐ-BNN Cty 0,5% = 240.000 đồng (bằng 0,5% × 48.000.000). Tuy nhiên cần lưu ý: cột công thức đang chạy thực tế trên hệ thống lại đang dùng mức trần đóng BHTN (106.200.000 đồng) thay vì mức trần đóng BHXH/BHYT — đây là một điểm nhầm lẫn khác về mức trần, cần bộ phận Nghiệp vụ xác nhận thêm.</t>
  </si>
  <si>
    <t>TNLD_CTY=240,000</t>
  </si>
  <si>
    <t>TC-CT-079</t>
  </si>
  <si>
    <t>[Bảo hiểm xã hội &amp; kinh phí công đoàn] Kiểm tra hệ thống tính đúng BHTN công ty 1% khi lương vượt trần đóng BHTN (106.200.000đ).</t>
  </si>
  <si>
    <t>[VÍ DỤ MINH HOẠ] Nhân viên Nguyễn Văn A có Lương chính thức (100%) là 120.000.000đ, cao hơn mức trần lương đóng BHTN quy định là 106.200.000đ.</t>
  </si>
  <si>
    <t>1. Nhập dữ liệu lương cho nhân viên theo đúng số liệu ở Test Data.
2. Chạy tính lương (hoặc để hệ thống tự tính) để ra khoản BHTN công ty đóng 1%.
3. Kiểm tra kết quả BHTN công ty 1% hiển thị trên hệ thống.</t>
  </si>
  <si>
    <t>Hệ thống tính đúng BHTN công ty 1% = 1.062.000đ (lấy mức thấp hơn giữa lương thực tế 120.000.000đ và trần 106.200.000đ, tức 106.200.000đ, nhân với 1%), không tính vượt trần.</t>
  </si>
  <si>
    <t>UI_CTY=1,062,000</t>
  </si>
  <si>
    <t>TC-CT-080</t>
  </si>
  <si>
    <t>[Bảo hiểm xã hội &amp; kinh phí công đoàn] Kiểm tra hệ thống cộng đúng Tổng BHXH công ty đóng từ 4 loại bảo hiểm cộng với các khoản điều chỉnh.</t>
  </si>
  <si>
    <t>[VÍ DỤ MINH HOẠ] Nhân viên Nguyễn Văn A trong kỳ có: BHXH công ty đóng 17% là 8.160.000đ, BHTNLĐ-BNN công ty đóng 0,5% là 240.000đ, BHYT công ty đóng 3% là 1.440.000đ, BHTN công ty đóng 1% là 1.062.000đ, không có khoản điều chỉnh nào.</t>
  </si>
  <si>
    <t>1. Nhập dữ liệu các khoản bảo hiểm công ty đóng theo đúng số liệu ở Test Data.
2. Chạy tính lương (hoặc để hệ thống tự tính) để ra Tổng BHXH công ty đóng.
3. Kiểm tra kết quả Tổng BHXH công ty đóng hiển thị trên hệ thống.</t>
  </si>
  <si>
    <t>Hệ thống tính đúng Tổng BHXH công ty đóng = 10.902.000đ (bằng tổng 8.160.000 + 240.000 + 1.440.000 + 1.062.000).</t>
  </si>
  <si>
    <t>TOTAL_INS_CTY=10,902,000</t>
  </si>
  <si>
    <t>TC-CT-081</t>
  </si>
  <si>
    <t>[Bảo hiểm xã hội &amp; kinh phí công đoàn] Kiểm tra khoản KPCĐ công ty 2% có tính đúng cho nhân viên Thử việc hay không — đối chiếu giữa công thức hiện tại (có điều kiện theo Chính thức) và công thức đề xuất mới, vì còn câu hỏi mở "Thử việc có được áp dụng hay không?" chưa được trả lời chính thức.</t>
  </si>
  <si>
    <t>[VÍ DỤ MINH HOẠ] Nhân viên Nguyễn Văn A đang trong giai đoạn Thử việc, có Lương chính thức (100%) là 17.000.000đ (đây là mức lương thử việc), và vì đang thử việc nên Mức lương đóng BHXH, BHYT của nhân viên này bằng 0 (nhân viên thử việc không đóng BHXH).</t>
  </si>
  <si>
    <t>1. Nhập dữ liệu lương cho nhân viên Thử việc theo đúng số liệu ở Test Data.
2. Chạy tính lương (hoặc để hệ thống tự tính) để ra khoản KPCĐ công ty 2%, đối chiếu theo cả công thức hiện tại và công thức đề xuất mới.
3. So sánh kết quả 2 công thức để xác định công thức nào đang được áp dụng thực tế trên hệ thống.</t>
  </si>
  <si>
    <t>Theo xác nhận mới nhất của HR (thay thế kết luận 'công thức đã chốt' trước đó): khoản KPCĐ công ty 2% PHẢI được áp dụng cho CẢ nhân viên Thử việc, tính bằng Lương chính thức (100%) × 2% = 17.000.000 × 0,02 = 340.000đ, không phụ thuộc vào Loại hợp đồng hay Mức lương đóng BHXH. Tuy nhiên, hệ thống thực tế hiện tại lại trả về 0 cho nhân viên Thử việc — đây là lỗi (SAI), vì công thức KPCĐ công ty đang bị nối nhầm theo điều kiện của Mức lương đóng BHXH (vốn = 0 khi Thử việc). Cần đội kỹ thuật sửa để tách công thức KPCĐ công ty ra khỏi điều kiện 'chỉ áp dụng cho Chính thức' của Mức lương đóng BHXH.</t>
  </si>
  <si>
    <t>KPCD_CTY=0 — CONFIRMED BUG (cùng lỗi với TC-CT-131): KPCD_CTY=0 cho Thử việc do phụ thuộc INS_SAL_BH thay vì BASIC_SAL trực tiếp.</t>
  </si>
  <si>
    <t>TC-CT-082</t>
  </si>
  <si>
    <t>[Bảo hiểm xã hội &amp; kinh phí công đoàn] Kiểm tra công thức tính Tổng chi phí công ty — công thức hiện tại đang dùng Tổng thu nhập trong tháng, trong khi công thức mới đề xuất dùng Lương thực nhận, dẫn đến chênh lệch kết quả.</t>
  </si>
  <si>
    <t>[VÍ DỤ MINH HOẠ] Trong kỳ lương của nhân viên Nguyễn Văn A: Tổng thu nhập trong tháng là 61.887.692đ, Lương thực nhận (VND) là 54.737.692đ, Tổng BHXH công ty đóng là 10.902.000đ, khoản KPCĐ công ty 2% là 400.000đ (hoặc 0 theo trường hợp ở test case trước).</t>
  </si>
  <si>
    <t>1. Nhập dữ liệu lương cho nhân viên theo đúng số liệu ở Test Data.
2. Chạy tính lương theo công thức hiện tại: Tổng chi phí công ty = Tổng thu nhập trong tháng + Tổng BHXH công ty đóng + KPCĐ công ty 2%.
3. Chạy tính lại theo công thức đề xuất mới: Tổng chi phí công ty = Lương thực nhận (VND) + Tổng BHXH công ty đóng + KPCĐ công ty 2%.
4. So sánh kết quả 2 cách tính để xác định công thức nào hệ thống đang áp dụng thực tế.</t>
  </si>
  <si>
    <t>Nếu hệ thống vẫn đang chạy công thức CŨ (chưa cập nhật), kết quả sẽ SAI: 61.887.692 + 10.902.000 + 400.000 = 73.189.692đ. Kết quả ĐÚNG cần thấy (theo công thức đã chốt): 54.737.692 + 10.902.000 + 400.000 = 66.039.692đ. Chênh lệch giữa 2 kết quả là 7.150.000đ — đúng bằng phần Tổng BHXH nhân viên + Tổng thuế TNCN đã khấu trừ + Tổng trừ sau thuế trừ đi Tổng cộng sau thuế của nhân viên đó, tức đúng bằng phần đã bị trừ ra khỏi Tổng thu nhập trong tháng để ra Lương thực nhận.</t>
  </si>
  <si>
    <t>TOTAL_CTY_COST=73,189,692</t>
  </si>
  <si>
    <t>◆ 12 · Trích lập ngân sách thưởng (dự phòng, không phải lương)</t>
  </si>
  <si>
    <t>TC-CT-083</t>
  </si>
  <si>
    <t>[Trích lập ngân sách thưởng] Kiểm tra hệ thống trích trước đúng khoản Lương tháng 13 hàng tháng (bằng Tổng lương trên hợp đồng lao động chia 12) cho nhân viên chưa nghỉ việc.</t>
  </si>
  <si>
    <t>[VÍ DỤ MINH HOẠ] Nhân viên Nguyễn Văn A có Tổng lương trên hợp đồng lao động là 22.000.000đ, hiện chưa có quyết định nghỉ việc.</t>
  </si>
  <si>
    <t>1. Nhập dữ liệu hợp đồng lao động của nhân viên theo đúng số liệu ở Test Data.
2. Chạy tính lương (hoặc để hệ thống tự tính) để ra khoản trích trước Lương tháng 13 của kỳ.
3. Kiểm tra kết quả trích trước Lương tháng 13 hiển thị trên hệ thống.</t>
  </si>
  <si>
    <t>Hệ thống tính đúng khoản trích trước Lương tháng 13 = 22.000.000 / 12 = 1.833.333đ (làm tròn theo cấu hình hệ thống).</t>
  </si>
  <si>
    <t>BONUS_SAVE_13M=0 — CONFIRMED GAP: BONUS_SAVE_13M là component type=input, KHÔNG có công thức nào (kể cả IF(HAS_TERMINATION...)) — luôn = giá trị nhập tay/import, mặc định 0 nếu không nhập.</t>
  </si>
  <si>
    <t>TC-CT-084</t>
  </si>
  <si>
    <t>[Trích lập ngân sách thưởng] Kiểm tra hệ thống dừng trích Lương tháng 13 (trả về 0) ngay trong kỳ nhân viên có quyết định nghỉ việc, không trích thêm sau khi đã nghỉ.</t>
  </si>
  <si>
    <t>[VÍ DỤ MINH HOẠ] Nhân viên Nguyễn Văn A có Tổng lương trên hợp đồng lao động là 22.000.000đ, nhưng đã có quyết định nghỉ việc trong kỳ lương đang xét.</t>
  </si>
  <si>
    <t>1. Nhập dữ liệu hợp đồng lao động và đánh dấu cờ nghỉ việc (termination) = Có cho nhân viên theo đúng Test Data.
2. Chạy tính lương (hoặc để hệ thống tự tính) để ra khoản trích trước Lương tháng 13 của kỳ.
3. Kiểm tra kết quả trích trước Lương tháng 13 hiển thị trên hệ thống.</t>
  </si>
  <si>
    <t>Hệ thống tính đúng khoản trích trước Lương tháng 13 = 0đ — xác nhận hệ thống dừng trích ngay từ kỳ có quyết định nghỉ việc, không trích thêm sau khi nhân viên đã nghỉ.</t>
  </si>
  <si>
    <t>BONUS_SAVE_13M=0</t>
  </si>
  <si>
    <t>TC-CT-085</t>
  </si>
  <si>
    <t>[Trích lập ngân sách thưởng] Kiểm tra hệ thống áp đúng mức trần (cap) 15.000.000đ trước khi chia 12 khi tính khoản trích trước Thưởng Tết Âm lịch.</t>
  </si>
  <si>
    <t>[VÍ DỤ MINH HOẠ] Nhân viên Nguyễn Văn A có Tổng lương trên hợp đồng lao động là 25.000.000đ, cao hơn mức trần quy định là 15.000.000đ.</t>
  </si>
  <si>
    <t>1. Nhập dữ liệu hợp đồng lao động của nhân viên theo đúng số liệu ở Test Data.
2. Chạy tính lương (hoặc để hệ thống tự tính) để ra khoản trích trước Thưởng Tết Âm lịch.
3. Kiểm tra kết quả hiển thị trên hệ thống, đối chiếu công thức: lấy mức thấp hơn giữa 25.000.000đ và mức trần 15.000.000đ, rồi chia cho 12.</t>
  </si>
  <si>
    <t>Hệ thống tính đúng khoản trích trước Thưởng Tết Âm lịch = 15.000.000 / 12 = 1.250.000đ — đúng bằng mức trần, không tính trên số lương thực tế 25.000.000đ.</t>
  </si>
  <si>
    <t>BONUS_SAVE_TET=0 — CONFIRMED GAP: BONUS_SAVE_TET là type=input, không có công thức tính từ CONTRACT_TOTAL/cap 15tr — luôn = 0 trừ khi nhập tay.</t>
  </si>
  <si>
    <t>TC-CT-086</t>
  </si>
  <si>
    <t>[Trích lập ngân sách thưởng] Kiểm tra hệ thống trích trước đúng khoản ngân sách Du lịch, cố định 10.000.000đ chia 12, không phụ thuộc mức lương của nhân viên.</t>
  </si>
  <si>
    <t>[VÍ DỤ MINH HOẠ] Nhân viên Nguyễn Văn A — không cần số liệu lương cụ thể vì khoản này là mức cố định, không phụ thuộc lương.</t>
  </si>
  <si>
    <t>1. Chạy tính lương (hoặc để hệ thống tự tính) cho nhân viên trong kỳ.
2. Kiểm tra kết quả khoản trích trước ngân sách Du lịch hiển thị trên hệ thống.</t>
  </si>
  <si>
    <t>Hệ thống tính đúng khoản trích trước Du lịch = 10.000.000 / 12 = 833.333đ.</t>
  </si>
  <si>
    <t>TC-CT-087</t>
  </si>
  <si>
    <t>[Trích lập ngân sách thưởng] Kiểm tra hệ thống trích trước đúng khoản Thưởng KPI, tính theo quý (chia 4), không nhầm lẫn với chu kỳ chia 12 hay chia 3.</t>
  </si>
  <si>
    <t>[VÍ DỤ MINH HOẠ] Nhân viên Nguyễn Văn A có Tổng lương trên hợp đồng lao động là 22.000.000đ.</t>
  </si>
  <si>
    <t>1. Nhập dữ liệu hợp đồng lao động của nhân viên theo đúng số liệu ở Test Data.
2. Chạy tính lương (hoặc để hệ thống tự tính) để ra khoản trích trước Thưởng KPI.
3. Kiểm tra kết quả trích trước Thưởng KPI hiển thị trên hệ thống.</t>
  </si>
  <si>
    <t>Hệ thống tính đúng khoản trích trước Thưởng KPI = 22.000.000 / 4 = 5.500.000đ — xác nhận đúng mẫu số là 4 (theo quý), không nhầm với cách chia 12 hoặc chia 3 như mô tả 'kpi (3 mths)' trong tài liệu Functions_Approval Docs-v4.</t>
  </si>
  <si>
    <t>BONUS_SAVE_KPI=0 — CONFIRMED GAP: BONUS_SAVE_KPI là type=input, không có công thức nào — luôn = 0 trừ khi nhập tay.</t>
  </si>
  <si>
    <t>TC-CT-088</t>
  </si>
  <si>
    <t>[Trích lập ngân sách thưởng] Kiểm tra để xác nhận cả 5 khoản trích lập ngân sách thưởng nêu trên KHÔNG bị cộng nhầm vào Tổng thu nhập trong tháng, Tổng thu nhập chịu thuế, hay phiếu lương của nhân viên.</t>
  </si>
  <si>
    <t>[VÍ DỤ MINH HOẠ] Xem xét một kỳ lương có phát sinh đầy đủ cả 5 khoản trích lập ngân sách thưởng nêu trên (Lương tháng 13, Thưởng Tết Âm lịch, Du lịch, Thưởng KPI, và một khoản trích khác).</t>
  </si>
  <si>
    <t>Đây là bước kiểm tra đối chiếu tài liệu/công thức nội bộ, KHÔNG phải thao tác trên hệ thống. 1. Rà soát công thức tính Tổng thu nhập trong tháng (module 06) trong tài liệu công thức.
2. Đối chiếu xem danh sách các khoản được cộng vào Tổng thu nhập trong tháng có chứa bất kỳ mã nào trong 5 khoản trích lập ngân sách thưởng nêu trên hay không.</t>
  </si>
  <si>
    <t>Xác nhận Tổng thu nhập trong tháng / Tổng thu nhập chịu thuế / phiếu lương của nhân viên KHÔNG chứa bất kỳ khoản trích lập ngân sách thưởng nào nêu trên — đúng theo ghi chú nguồn 'Phần này KHÔNG cộng vào thu nhập CBNV'. Nếu phát hiện có khoản nào bị cộng nhầm vào Tổng thu nhập trong tháng, đây là lỗi nghiêm trọng (Critical) vì sẽ khiến nhân viên bị tính thừa thuế TNCN trên khoản tiền họ chưa thực nhận.</t>
  </si>
  <si>
    <t>TC-CT-089</t>
  </si>
  <si>
    <t>[Trích lập ngân sách thưởng] Kiểm tra công thức Check budget (khoản tổng hợp ngân sách) có cộng đúng Tổng chi phí công ty với 4 khoản trích thưởng, đồng thời ghi nhận việc công thức hiện tại chưa cộng thêm 4 khoản trích thưởng khác (Coteccons Day, 2/9, Tết dương lịch, Bổ sung đợt 2).</t>
  </si>
  <si>
    <t>[VÍ DỤ MINH HOẠ] Trong kỳ lương của nhân viên Nguyễn Văn A: Tổng chi phí công ty là 66.039.692đ, khoản trích Du lịch là 833.333đ, khoản trích Thưởng KPI là 5.500.000đ, khoản trích Lương tháng 13 là 1.833.333đ, khoản trích Thưởng Tết Âm lịch là 1.250.000đ.</t>
  </si>
  <si>
    <t>1. Nhập dữ liệu các khoản trên theo đúng số liệu ở Test Data.
2. Chạy tính lương (hoặc để hệ thống tự tính) để ra kết quả Check budget = Tổng chi phí công ty cộng 4 khoản trích thưởng trên.
3. Kiểm tra kết quả Check budget hiển thị trên hệ thống.</t>
  </si>
  <si>
    <t>Hệ thống tính đúng Check budget = 66.039.692 + 833.333 + 5.500.000 + 1.833.333 + 1.250.000 = 75.456.358đ. LƯU Ý: công thức Check budget hiện tại KHÔNG cộng thêm 5 khoản trích thưởng còn lại (Tết dương lịch, 30/4, Coteccons Day, 2/9, Bổ sung đợt 2) vì các dòng công thức này đang để trống từ trước (đã ghi nhận ở phát hiện #10, phân tích ngày 14/07/2026) — cần bộ phận nghiệp vụ (Functional) xác nhận đây là chủ đích hay công thức tổng còn thiếu.</t>
  </si>
  <si>
    <t>BUDGET_SAVE=75,456,358</t>
  </si>
  <si>
    <t>TC-CT-093</t>
  </si>
  <si>
    <t>[Trích lập ngân sách thưởng] Ghi nhận lại việc 5 khoản trích thưởng còn lại (Tết dương lịch, 30/4, Coteccons Day, 2/9, Bổ sung đợt 2) vẫn chưa có công thức tính trong cấu trúc bảng lương (Payroll structure) — đây là khoảng trống đã được ghi nhận từ trước.</t>
  </si>
  <si>
    <t>Không có số liệu cụ thể cần chuẩn bị — đây là bước rà soát tài liệu công thức, không phải thao tác nhập liệu.</t>
  </si>
  <si>
    <t>Đây là bước kiểm tra đối chiếu tài liệu/công thức nội bộ, KHÔNG phải thao tác trên hệ thống. 1. Rà soát công thức của 5 dòng: Tết dương lịch 1/1, 30/4, Coteccons Day, 2/9, Bổ sung đợt 2 trong tài liệu cấu trúc bảng lương.</t>
  </si>
  <si>
    <t>Xác nhận lại khoảng trống (gap): cả 5 dòng nêu trên đều chưa có công thức ở cả 2 cột công thức (H và J) — đây là khoảng trống đã được ghi nhận từ phân tích ngày 14/07/2026 (phát hiện #10), đến nay vẫn CHƯA được xử lý ở tài liệu Docs-v4. Vì vậy, khoản Check budget (dòng 128) hiện chỉ đang tổng hợp được 3 trên 8 khoản trích thưởng thực tế đã được liệt kê ở tài liệu Cover/Functions_Approval.</t>
  </si>
  <si>
    <t>TC-CT-132</t>
  </si>
  <si>
    <t>[Phụ cấp] Kiểm tra Phụ cấp nhà ở (loại chịu thuế) được cộng đúng vào Tổng thu nhập trong tháng.</t>
  </si>
  <si>
    <t>[VÍ DỤ MINH HOẠ] Nhân viên Nguyễn Văn A có Phụ cấp nhà ở (chịu thuế) là 2.000.000đ, các khoản khác cấu thành Tổng thu nhập trong tháng đều bằng 0.</t>
  </si>
  <si>
    <t>1. Nhập Phụ cấp nhà ở (chịu thuế) = 2.000.000đ cho nhân viên.
2. Chạy tính lương (hoặc để hệ thống tự tính) để ra Tổng thu nhập trong tháng và Tổng thu nhập chịu thuế.
3. Kiểm tra 2 kết quả này hiển thị trên hệ thống.</t>
  </si>
  <si>
    <t>Tổng thu nhập trong tháng = 2.000.000đ. Tổng thu nhập chịu thuế cũng = 2.000.000đ (Phụ cấp nhà ở chịu thuế không nằm trong danh sách các khoản bị trừ khi tính Tổng thu nhập chịu thuế, đúng vì đây là khoản chịu thuế).</t>
  </si>
  <si>
    <t>GROSS=2,000,000; TAXABLE_GROSS=2,000,000</t>
  </si>
  <si>
    <t>TC-CT-133</t>
  </si>
  <si>
    <t>[Phụ cấp] Kiểm tra Phụ cấp nhà ở (loại không chịu thuế) được cộng vào Tổng thu nhập trong tháng nhưng bị trừ đúng ra khỏi Tổng thu nhập chịu thuế.</t>
  </si>
  <si>
    <t>[VÍ DỤ MINH HOẠ] Nhân viên Nguyễn Văn A có Phụ cấp nhà ở (không chịu thuế) là 1.500.000đ, các khoản khác cấu thành Tổng thu nhập trong tháng đều bằng 0.</t>
  </si>
  <si>
    <t>1. Nhập Phụ cấp nhà ở (không chịu thuế) = 1.500.000đ cho nhân viên.
2. Chạy tính lương (hoặc để hệ thống tự tính) để ra Tổng thu nhập trong tháng và Tổng thu nhập chịu thuế.
3. Kiểm tra 2 kết quả này hiển thị trên hệ thống.</t>
  </si>
  <si>
    <t>Tổng thu nhập trong tháng = 1.500.000đ. Tổng thu nhập chịu thuế = 1.500.000 - 1.500.000 = 0đ (toàn bộ khoản này không được tính vào thu nhập chịu thuế).</t>
  </si>
  <si>
    <t>GROSS=0; LIVING_NONTAX=1,500,000</t>
  </si>
  <si>
    <t>TC-CT-134</t>
  </si>
  <si>
    <t>[Phụ cấp] Kiểm tra Phụ cấp Khác (loại chịu thuế) được cộng đúng vào Tổng thu nhập trong tháng.</t>
  </si>
  <si>
    <t>[VÍ DỤ MINH HOẠ] Nhân viên Nguyễn Văn A có Phụ cấp Khác (chịu thuế) là 800.000đ, các khoản khác cấu thành Tổng thu nhập trong tháng đều bằng 0.</t>
  </si>
  <si>
    <t>1. Nhập Phụ cấp Khác (chịu thuế) = 800.000đ cho nhân viên.
2. Chạy tính lương (hoặc để hệ thống tự tính) để ra Tổng thu nhập trong tháng và Tổng thu nhập chịu thuế.
3. Kiểm tra 2 kết quả này hiển thị trên hệ thống.</t>
  </si>
  <si>
    <t>Tổng thu nhập trong tháng = 800.000đ. Tổng thu nhập chịu thuế = 800.000đ (Phụ cấp Khác chịu thuế không nằm trong danh sách các khoản bị trừ khi tính Tổng thu nhập chịu thuế).</t>
  </si>
  <si>
    <t>GROSS=0; OTHER_ALLOW_TAX=800,000</t>
  </si>
  <si>
    <t>TC-CT-135</t>
  </si>
  <si>
    <t>[Phụ cấp] Kiểm tra Phụ cấp Khác (loại không chịu thuế) được cộng vào Tổng thu nhập trong tháng nhưng bị trừ đúng ra khỏi Tổng thu nhập chịu thuế.</t>
  </si>
  <si>
    <t>[VÍ DỤ MINH HOẠ] Nhân viên Nguyễn Văn A có Phụ cấp Khác (không chịu thuế) là 600.000đ, các khoản khác cấu thành Tổng thu nhập trong tháng đều bằng 0.</t>
  </si>
  <si>
    <t>1. Nhập Phụ cấp Khác (không chịu thuế) = 600.000đ cho nhân viên.
2. Chạy tính lương (hoặc để hệ thống tự tính) để ra Tổng thu nhập trong tháng và Tổng thu nhập chịu thuế.
3. Kiểm tra 2 kết quả này hiển thị trên hệ thống.</t>
  </si>
  <si>
    <t>Tổng thu nhập trong tháng = 600.000đ. Tổng thu nhập chịu thuế = 600.000 - 600.000 = 0đ.</t>
  </si>
  <si>
    <t>GROSS=0; OTHER_ALLOW_NONTAX=600,000</t>
  </si>
  <si>
    <t>TC-CT-136</t>
  </si>
  <si>
    <t>[Phụ cấp] Ghi nhận việc Phụ cấp công trình đã được ký duyệt (Signoff) trong cấu trúc bảng lương nhưng KHÔNG có bất kỳ công thức nào tham chiếu tới — chưa rõ khoản này có thực sự được cộng vào lương của nhân viên hay không.</t>
  </si>
  <si>
    <t>Đây là bước kiểm tra đối chiếu tài liệu/công thức nội bộ, KHÔNG phải thao tác trên hệ thống. 1. Tìm cột 'công thức/phạm vi liên quan' của Phụ cấp công trình trong tài liệu cấu trúc bảng lương.
2. Rà soát toàn bộ các mã biến (127 biến) xem có công thức nào (Tổng thu nhập trong tháng, Tổng trợ cấp, hay bất kỳ công thức nào khác) có tham chiếu tới Phụ cấp công trình hay không.</t>
  </si>
  <si>
    <t>Ghi nhận khoảng trống (gap): Phụ cấp công trình (loại nhập liệu, đã được HR ký duyệt Signoff) không có công thức riêng của chính nó (vì đây là dữ liệu nhập trực tiếp, điều này hợp lý), NHƯNG cũng không xuất hiện trong công thức của BẤT KỲ khoản nào khác (không nằm trong Tổng thu nhập trong tháng, Tổng trợ cấp, hay bất kỳ biến nào) — khác với các phụ cấp nhập liệu khác (PC cơm, PC điện thoại, PC nhà ở... đều được các công thức khác tham chiếu tới). Cần bộ phận nghiệp vụ (Functional) xác nhận: (a) Phụ cấp công trình có thực sự được trả cho nhân viên hay không, và nếu có thì được cộng vào Tổng thu nhập trong tháng qua đường nào; hay (b) đây là khoản đã được ký duyệt nhưng bị bỏ sót khi xây dựng công thức, cần bổ sung vào Tổng thu nhập trong tháng giống các phụ cấp khác.</t>
  </si>
  <si>
    <t>TC-CT-137</t>
  </si>
  <si>
    <t>[Lương cơ bản &amp; lương thực tế trong tháng] Kiểm tra nhân viên vào làm đúng ngày đầu tiên của kỳ lương thì được hưởng đủ 100% lương chính thức, không bị tính thiếu ngày.</t>
  </si>
  <si>
    <t>[VÍ DỤ MINH HOẠ] Nhân viên Nguyễn Văn A có Ngày vào làm = ngày 21 tháng trước (đúng ngày đầu kỳ lương). Công chuẩn của kỳ là 26 ngày, và Tổng ngày làm việc hưởng lương của nhân viên cũng là 26 ngày (đủ cả kỳ). Lương chính thức (100%) là 20.000.000đ.</t>
  </si>
  <si>
    <t>1. Nhập dữ liệu Ngày vào làm và ngày công theo đúng số liệu ở Test Data.
2. Chạy tính lương (hoặc để hệ thống tự tính) để ra Lương chính thức thực tế.
3. Kiểm tra kết quả Lương chính thức thực tế hiển thị trên hệ thống.</t>
  </si>
  <si>
    <t>Lương chính thức thực tế = 20.000.000đ (hưởng đủ 100% lương, không bị coi là 'nhân viên mới vào giữa kỳ' để bị trừ bớt ngày công, dù ngày vào làm nằm trong kỳ đang xét).</t>
  </si>
  <si>
    <t>OFFICIAL_EARNED=20,000,000; PAID_DAYS=26</t>
  </si>
  <si>
    <t>TC-CT-138</t>
  </si>
  <si>
    <t>[Lương cơ bản &amp; lương thực tế trong tháng] Kiểm tra nhân viên vào làm giữa kỳ lương thì lương chính thức được tính theo tỷ lệ (pro-rata) đúng số ngày làm việc thực tế.</t>
  </si>
  <si>
    <t>[VÍ DỤ MINH HOẠ] Nhân viên Nguyễn Văn A có Ngày vào làm rơi vào giữa kỳ lương, số ngày làm việc thực tế trong kỳ là 10 trên tổng 26 ngày công chuẩn. Lương chính thức (100%) là 20.000.000đ.</t>
  </si>
  <si>
    <t>1. Nhập dữ liệu Ngày vào làm và số ngày công thực tế theo đúng số liệu ở Test Data.
2. Chạy tính lương (hoặc để hệ thống tự tính) để ra Lương chính thức thực tế.
3. Kiểm tra kết quả Lương chính thức thực tế hiển thị trên hệ thống.</t>
  </si>
  <si>
    <t>Lương chính thức thực tế = 20.000.000 / 26 × 10, làm tròn = 7.692.308đ.</t>
  </si>
  <si>
    <t>ACTUAL_DAYS=0; OFFICIAL_EARNED=7,692,308; PAID_DAYS=10</t>
  </si>
  <si>
    <t>TC-CT-139</t>
  </si>
  <si>
    <t>[Lương cơ bản &amp; lương thực tế trong tháng] Kiểm tra nhân viên nghỉ việc giữa kỳ lương thì lương chính thức chỉ được tính theo tỷ lệ (pro-rata) đến đúng ngày nghỉ việc cuối cùng.</t>
  </si>
  <si>
    <t>[VÍ DỤ MINH HOẠ] Nhân viên Nguyễn Văn A có Ngày nghỉ việc rơi vào giữa kỳ lương, số ngày làm việc thực tế tính đến ngày nghỉ việc là 15 trên tổng 26 ngày công chuẩn. Lương chính thức (100%) là 20.000.000đ.</t>
  </si>
  <si>
    <t>1. Nhập dữ liệu Ngày nghỉ việc và số ngày công thực tế theo đúng số liệu ở Test Data.
2. Chạy tính lương (hoặc để hệ thống tự tính) để ra Lương chính thức thực tế.
3. Kiểm tra kết quả Lương chính thức thực tế hiển thị trên hệ thống.</t>
  </si>
  <si>
    <t>Lương chính thức thực tế = 20.000.000 / 26 × 15, làm tròn = 11.538.462đ.</t>
  </si>
  <si>
    <t>ACTUAL_DAYS=0; OFFICIAL_EARNED=11,538,462; PAID_DAYS=15</t>
  </si>
  <si>
    <t>TC-CT-140</t>
  </si>
  <si>
    <t>[Lương cơ bản &amp; lương thực tế trong tháng] [Trường hợp biên] Kiểm tra nhân viên nghỉ việc đúng ngày cuối cùng của kỳ lương vẫn được hưởng đủ 100% lương chính thức, không bị trừ nhầm 1 ngày.</t>
  </si>
  <si>
    <t>[VÍ DỤ MINH HOẠ] Nhân viên Nguyễn Văn A có Ngày nghỉ việc = ngày 20 của tháng (đúng ngày cuối kỳ). Công chuẩn của kỳ là 26 ngày, Tổng ngày làm việc hưởng lương cũng là 26 ngày (đủ cả kỳ). Lương chính thức (100%) là 20.000.000đ.</t>
  </si>
  <si>
    <t>1. Nhập dữ liệu Ngày nghỉ việc và ngày công theo đúng số liệu ở Test Data (ngày nghỉ việc vẫn được tính là 1 ngày công bình thường, tính công đủ).
2. Chạy tính lương (hoặc để hệ thống tự tính) để ra Lương chính thức thực tế.
3. Kiểm tra kết quả Lương chính thức thực tế hiển thị trên hệ thống.</t>
  </si>
  <si>
    <t>Lương chính thức thực tế = 20.000.000đ (hưởng đủ 100%, KHÔNG bị trừ mất 1 ngày dù ngày cuối kỳ trùng với ngày nghỉ việc — lỗi thường gặp là hệ thống trừ nhầm luôn ngày hiệu lực nghỉ việc ra khỏi số ngày công hưởng lương).</t>
  </si>
  <si>
    <t>ACTUAL_DAYS=0; OFFICIAL_EARNED=20,000,000; PAID_DAYS=26</t>
  </si>
  <si>
    <t>TC-CT-141</t>
  </si>
  <si>
    <t>[Lương cơ bản &amp; lương thực tế trong tháng] Kiểm tra nhân viên vừa vào làm vừa nghỉ việc trong CÙNG một kỳ lương thì lương chính thức chỉ được tính đúng theo số ngày làm việc thực tế ngắn ngủi đó.</t>
  </si>
  <si>
    <t>[VÍ DỤ MINH HOẠ] Nhân viên Nguyễn Văn A có cả Ngày vào làm và Ngày nghỉ việc cùng nằm trong một kỳ lương, số ngày làm việc thực tế là 6 trên tổng 26 ngày công chuẩn. Lương chính thức (100%) là 20.000.000đ.</t>
  </si>
  <si>
    <t>1. Nhập dữ liệu Ngày vào làm, Ngày nghỉ việc và số ngày công thực tế theo đúng số liệu ở Test Data.
2. Chạy tính lương (hoặc để hệ thống tự tính) để ra Lương chính thức thực tế.
3. Kiểm tra kết quả Lương chính thức thực tế hiển thị trên hệ thống.</t>
  </si>
  <si>
    <t>Lương chính thức thực tế = 20.000.000 / 26 × 6, làm tròn = 4.615.385đ.</t>
  </si>
  <si>
    <t>ACTUAL_DAYS=0; OFFICIAL_EARNED=4,615,385; PAID_DAYS=6</t>
  </si>
  <si>
    <t>TC-CT-142</t>
  </si>
  <si>
    <t>[Lương cơ bản &amp; lương thực tế trong tháng] [Khoảng trống] Ghi nhận việc hệ thống chưa có mã biến hay cơ chế nào để tách 2 giai đoạn tính lương khi nhân viên được tăng Level giữa kỳ lương.</t>
  </si>
  <si>
    <t>Đây là bước kiểm tra đối chiếu tài liệu/công thức nội bộ, KHÔNG phải thao tác trên hệ thống. 1. Rà soát toàn bộ hơn 127 mã biến trong cấu trúc bảng lương để tìm biến liên quan đến Level/bậc công việc, hoặc cơ chế tách giai đoạn tương tự như đã có cho Lương chính thức (100%) (tham khảo test case đổi mức lương giữa kỳ, TC-CT-114).
2. Xác nhận hệ thống hiện đang xử lý việc đổi Level giữa kỳ (ảnh hưởng đồng thời nhiều khoản: lương cơ bản, phụ cấp điện thoại theo level, phụ cấp ô tô quản lý...) như thế nào.</t>
  </si>
  <si>
    <t>Ghi nhận khoảng trống (gap): không tìm thấy mã biến nào về Level/bậc công việc trong cấu trúc bảng lương — toàn bộ các khoản phụ cấp theo Level (như phụ cấp điện thoại, phụ cấp ô tô cấp L7/L8/Tổng giám đốc...) đều là giá trị nhập liệu đơn nhất theo kỳ, không có cơ chế tách 2 giai đoạn khi Level thay đổi giữa kỳ (khác với trường hợp đổi lương cơ bản giữa kỳ ở TC-CT-114, dù test case đó cũng đang ở trạng thái bị chặn do thiếu tham số hoá thật). Cần bộ phận nghiệp vụ (Functional) xác nhận: khi tăng Level giữa kỳ, hệ thống có tính pro-rata riêng theo từng giai đoạn Level (giống ví dụ đổi lương ở tài liệu PRD1 mục 5.4) hay áp dụng Level MỚI cho NGUYÊN kỳ đó (đơn giản hoá, bỏ qua ngày hiệu lực)?</t>
  </si>
  <si>
    <t>TC-CT-143</t>
  </si>
  <si>
    <t>[Phụ cấp] [Khoảng trống] Ghi nhận việc các khoản phụ cấp trong hệ thống là giá trị nhập liệu đơn nhất theo kỳ, chưa có cơ chế tách 2 giai đoạn khi mức phụ cấp thay đổi giữa kỳ lương (giống như đã có cho Lương chính thức).</t>
  </si>
  <si>
    <t>Đây là bước kiểm tra đối chiếu tài liệu/công thức nội bộ, KHÔNG phải thao tác trên hệ thống. 1. Rà soát các khoản phụ cấp nhập liệu (phụ cấp điện thoại, phụ cấp nhà ở, phụ cấp đi lại, phụ cấp nhiên liệu/xăng...) xem có cho phép nhập 2 giá trị theo 2 giai đoạn hiệu lực trong cùng một kỳ hay chỉ nhận 1 giá trị duy nhất cho cả kỳ.</t>
  </si>
  <si>
    <t>Ghi nhận khoảng trống (gap): toàn bộ các mã phụ cấp trong cấu trúc bảng lương đều là loại nhập liệu, KHÔNG có trường ngày hiệu lực hay cơ chế 2 giai đoạn — khác với Lương chính thức, vốn ít nhất đã được ghi nhận là cần tách giai đoạn (dù test case liên quan TC-CT-114 cũng đang bị chặn vì thiếu tham số hoá thật). Cần bộ phận nghiệp vụ (Functional) xác nhận: khi phụ cấp thay đổi giữa kỳ, hệ thống áp dụng mức MỚI cho nguyên kỳ, mức CŨ cho nguyên kỳ, hay tính theo tỷ lệ (pro-rata) theo số ngày mỗi mức (tương tự quy định ở tài liệu PRD2 mục 4.3: 'Tất cả các loại phụ cấp khi có điều động sẽ được tính pro-rata theo ngày thực tế từng bộ phận' — nhưng quy định đó áp dụng cho trường hợp điều động BỘ PHẬN, chưa rõ có áp dụng tương tự cho trường hợp đổi MỨC phụ cấp hay không).</t>
  </si>
  <si>
    <t>TC-CT-144</t>
  </si>
  <si>
    <t>[Lương cơ bản &amp; lương thực tế trong tháng] Kiểm tra nhân viên nghỉ việc mà còn phép năm tồn thì được chi trả đủ Lương phép tồn theo đúng số ngày còn lại.</t>
  </si>
  <si>
    <t>[VÍ DỤ MINH HOẠ] Nhân viên Nguyễn Văn A có quyết định nghỉ việc, còn 5 ngày phép năm chưa nghỉ tại thời điểm nghỉ việc. Lương chính thức (100%) là 20.000.000đ, Công chuẩn của kỳ là 26 ngày.</t>
  </si>
  <si>
    <t>1. Nhập cờ nghỉ việc (termination) = Có, số ngày phép tồn và dữ liệu lương theo đúng số liệu ở Test Data.
2. Chạy tính lương (hoặc để hệ thống tự tính) để ra khoản Lương phép tồn.
3. Kiểm tra kết quả Lương phép tồn hiển thị trên hệ thống.</t>
  </si>
  <si>
    <t>Lương phép tồn = 5/26 × 20.000.000 = 3.846.153,8, làm tròn ≈ 3.846.154đ — khoản này được cộng vào Lương thực tế trong tháng/Tổng thu nhập trong tháng của kỳ nghỉ việc (không bị mất do nghỉ việc).</t>
  </si>
  <si>
    <t>EARNED_PAID_LEAVE=3,846,154</t>
  </si>
  <si>
    <t>TC-CT-145</t>
  </si>
  <si>
    <t>[Lương cơ bản &amp; lương thực tế trong tháng] [Trường hợp biên] Kiểm tra nhân viên nghỉ việc mà đã nghỉ hết phép năm (còn 0 ngày) thì Lương phép tồn = 0, không phát sinh số âm hay lỗi.</t>
  </si>
  <si>
    <t>[VÍ DỤ MINH HOẠ] Nhân viên Nguyễn Văn A có quyết định nghỉ việc, còn 0 ngày phép năm tồn. Lương chính thức (100%) là 20.000.000đ.</t>
  </si>
  <si>
    <t>1. Nhập cờ nghỉ việc (termination) = Có, số ngày phép tồn = 0 và dữ liệu lương theo đúng số liệu ở Test Data.
2. Chạy tính lương (hoặc để hệ thống tự tính) để ra khoản Lương phép tồn.
3. Kiểm tra kết quả Lương phép tồn hiển thị trên hệ thống.</t>
  </si>
  <si>
    <t>Lương phép tồn = 0đ (không bị âm, không phát sinh lỗi chia hay làm tròn).</t>
  </si>
  <si>
    <t>Medium</t>
  </si>
  <si>
    <t>TC-CT-146</t>
  </si>
  <si>
    <t>[Giảm trừ gia cảnh &amp; thu nhập tính thuế] Kiểm tra hệ thống tính đúng khoản giảm trừ gia cảnh khi nhân viên có nhiều người phụ thuộc (4 người) — công thức tăng tuyến tính theo số người, không bị giới hạn hay làm tròn sai.</t>
  </si>
  <si>
    <t>[VÍ DỤ MINH HOẠ] Nhân viên Nguyễn Văn A có 4 người phụ thuộc đã đăng ký hợp lệ.</t>
  </si>
  <si>
    <t>1. Nhập số người phụ thuộc = 4 cho nhân viên.
2. Chạy tính lương (hoặc để hệ thống tự tính) để ra khoản Giảm trừ gia cảnh người phụ thuộc.
3. Kiểm tra kết quả hiển thị trên hệ thống.</t>
  </si>
  <si>
    <t>Giảm trừ gia cảnh người phụ thuộc = 4 × 6.200.000 = 24.800.000đ.</t>
  </si>
  <si>
    <t>DEPENDENT_CNT=4; DEPENDENT_DED=24,800,000</t>
  </si>
  <si>
    <t>TC-CT-147</t>
  </si>
  <si>
    <t>[Giảm trừ gia cảnh &amp; thu nhập tính thuế] [Khoảng trống] Ghi nhận việc số người phụ thuộc đang là dữ liệu nhập tĩnh cho cả kỳ, chưa có cơ chế tính theo tỷ lệ ngày hiệu lực khi nhân viên đăng ký hoặc hủy người phụ thuộc giữa kỳ lương.</t>
  </si>
  <si>
    <t>Đây là bước kiểm tra đối chiếu tài liệu/công thức nội bộ, KHÔNG phải thao tác trên hệ thống. 1. Rà soát số người phụ thuộc và luồng đăng ký người phụ thuộc (đã mô tả ở TC-CT-054) xem có trường ngày hiệu lực trong tháng hay chỉ có 1 giá trị áp dụng cho nguyên kỳ.</t>
  </si>
  <si>
    <t>Ghi nhận khoảng trống (gap): số người phụ thuộc là dữ liệu đếm tĩnh (loại nhập liệu), không có cơ chế ngày hiệu lực giữa tháng — nếu người phụ thuộc được đăng ký hoặc hủy giữa tháng, chưa rõ hệ thống tính giảm trừ theo số NGÀY còn hiệu lực trong tháng (theo tỷ lệ) hay áp dụng TRỌN THÁNG kể từ khi ghi nhận (theo đúng luật: giảm trừ áp dụng từ tháng phát sinh nghĩa vụ nuôi dưỡng, KHÔNG chia theo ngày). Cần bộ phận nghiệp vụ (Functional) xác nhận rule cụ thể để tránh tính sai khoản giảm trừ người phụ thuộc ở tháng có thay đổi.</t>
  </si>
  <si>
    <t>Số ngày làm thực tế</t>
  </si>
  <si>
    <t>Persona (Employee ID)</t>
  </si>
  <si>
    <t>Tên</t>
  </si>
  <si>
    <t>Basic salary</t>
  </si>
  <si>
    <t>Ngay công</t>
  </si>
  <si>
    <t>Trợ cấp tiền ăn</t>
  </si>
  <si>
    <t>trừ BH</t>
  </si>
  <si>
    <t>TNCA</t>
  </si>
  <si>
    <t>Final Salary</t>
  </si>
  <si>
    <t xml:space="preserve">005833
 </t>
  </si>
  <si>
    <t xml:space="preserve">Đinh Tiến Dũng
</t>
  </si>
  <si>
    <t>Status</t>
  </si>
  <si>
    <t>Defect Info</t>
  </si>
  <si>
    <t>TC-TH-086</t>
  </si>
  <si>
    <t>[Chấm công &amp; ngày công hưởng lương] Kiểm tra hệ thống tính đúng số ngày công hưởng lương và phụ cấp theo tỷ lệ ngày làm việc thực tế, khi nhân viên nghỉ việc đúng vào ngày cuối cùng của kỳ lương so với trường hợp nghỉ việc vào ngày đầu tiên của kỳ lương kế tiếp.</t>
  </si>
  <si>
    <t>Tình huống (a): Ngày công chuẩn trong tháng = 26 ngày (đi làm đủ tháng), ngày nghỉ việc = ngày 31. Tình huống (b): Ngày công chuẩn = 1 ngày, ngày nghỉ việc = ngày 01 tháng sau.</t>
  </si>
  <si>
    <t>1. Tính lương cho cả 2 tình huống (a) và (b).
2. Kiểm tra Tổng số ngày công hưởng lương và các khoản phụ cấp/thưởng được tính theo đúng tỷ lệ số ngày thực tế đi làm.
3. Xác nhận không bị tính nhầm thành 0 ngày hoặc thành cả tháng do lỗi ở ranh giới kỳ lương.</t>
  </si>
  <si>
    <t>Tình huống (a): lương và phụ cấp được tính đủ tháng như nhân viên bình thường. Tình huống (b): lương và phụ cấp chỉ được tính đúng cho 1 ngày công (1/26 tháng) — không bị tính nhầm thành 0 (bỏ sót hoàn toàn) hoặc tính nhầm thành cả tháng.</t>
  </si>
  <si>
    <t>N/A — sheet này là test case UI/tích hợp/hiệu năng/bảo mật, không phải công thức tính lương thuần, không chạy được qua engine Go (internal/service/engine.go) như sheet 'TC - Công thức tính lương'. Cần chạy qua UI/API thật hoặc kịch bản automation riêng (Playwright/k6...).</t>
  </si>
  <si>
    <t>TC-TH-103</t>
  </si>
  <si>
    <t>[Chấm công &amp; ngày công hưởng lương] [Dự thảo - chưa xây dựng] Báo cáo Chấm công tháng dùng để tính lương (tên báo cáo: Monthly Attendance Report300726) — hiện màn hình xuất báo cáo này chưa được xây dựng trên hệ thống.</t>
  </si>
  <si>
    <t>—</t>
  </si>
  <si>
    <t>TC-TH-104</t>
  </si>
  <si>
    <t>[Chấm công &amp; ngày công hưởng lương] [Dự thảo - chưa xây dựng] Báo cáo Bảng công dùng để đối soát/kiểm tra chấm công (tên báo cáo: 202603_Bang_Cong,_Phu_Cap_Repor) — màn hình xuất báo cáo này chưa được xây dựng, và kỳ báo cáo trong tài liệu mẫu còn chưa thống nhất.</t>
  </si>
  <si>
    <t>◆ 02 · Lương cơ bản &amp; lương thực tế trong tháng (tổ hợp)</t>
  </si>
  <si>
    <t>TC-TH-085</t>
  </si>
  <si>
    <t>[Lương cơ bản &amp; lương thực tế trong tháng] Kiểm tra hệ thống tính đúng lương khi 1 nhân viên trong CÙNG một kỳ lương vừa được điều động sang bộ phận khác, vừa được điều chỉnh mức lương, vừa có ngày nghỉ không lương.</t>
  </si>
  <si>
    <t>12 ngày công tại bộ phận A với mức lương cũ 20.000.000đ; 10 ngày công tại bộ phận B với mức lương mới 25.000.000đ; 2 ngày nghỉ không lương; Ngày công chuẩn trong tháng = 26 ngày.</t>
  </si>
  <si>
    <t>1. Nhập dữ liệu của cả 3 thay đổi (điều động, đổi lương, nghỉ không lương) trong cùng kỳ lương.
2. Chạy tính lương.
3. Kiểm tra hệ thống tách đúng từng giai đoạn theo CẢ bộ phận VÀ mức lương (không chỉ tách theo 1 trong 2 yếu tố).
4. Kiểm tra hệ thống trừ đúng 2 ngày nghỉ không lương ra khỏi tổng ngày công.</t>
  </si>
  <si>
    <t>Lương thực tế đúng = (12/26 × 20.000.000) + (10/26 × 25.000.000) = 9.230.769,23 + 9.615.384,62 = 18.846.154đ (làm tròn), tính trên 22 ngày công hưởng lương (24 ngày công tổng trừ 2 ngày nghỉ không lương). Phụ cấp theo bộ phận cũng phải tách đúng theo 2 giai đoạn — KHÔNG được áp mức lương/bộ phận mới cho toàn bộ 22 ngày.</t>
  </si>
  <si>
    <t>Positive (Combination)</t>
  </si>
  <si>
    <t>TC-TH-007</t>
  </si>
  <si>
    <t>[Phụ cấp] Kiểm tra công thức tính Phụ cấp trách nhiệm áp dụng đúng theo ngày hiệu lực, khi nhân viên được bổ nhiệm chức danh mới giữa kỳ chấm công.</t>
  </si>
  <si>
    <t>Ngày hiệu lực bổ nhiệm = ngày 15 trong tháng; mức phụ cấp trách nhiệm sau khi bổ nhiệm = 1.200.000đ/tháng.</t>
  </si>
  <si>
    <t>1. Chạy tính lương cho kỳ lương có bổ nhiệm giữa tháng.
2. Kiểm tra khoản Phụ cấp trách nhiệm thực nhận có được tính theo đúng tỷ lệ số ngày thực tế giữ chức danh, hay bị tính tròn thành cả tháng.</t>
  </si>
  <si>
    <t>Phụ cấp trách nhiệm thực nhận phải được tính theo tỷ lệ số ngày thực tế giữ chức danh trong kỳ lương, không được tính tròn thành cả tháng.</t>
  </si>
  <si>
    <t>TC-TH-008</t>
  </si>
  <si>
    <t>[Phụ cấp] Kiểm tra màn hình quản trị dùng để thiết lập phụ cấp được duyệt riêng cho từng nhân viên (định mức tiền và ngày hiệu lực từ - đến).</t>
  </si>
  <si>
    <t>Không cần dữ liệu mẫu</t>
  </si>
  <si>
    <t>1. Đăng nhập bằng tài khoản quản trị.
2. Tìm màn hình cho phép thiết lập định mức phụ cấp riêng cho từng nhân viên, kèm ngày hiệu lực (từ ngày - đến ngày).</t>
  </si>
  <si>
    <t>Cần có màn hình nhập trực tiếp trên hệ thống Payroll. Đối chiếu với dữ liệu HR thực tế đã xác nhận là CÓ áp dụng cơ chế phê duyệt phụ cấp riêng trong thực tế vận hành (ví dụ: phụ cấp trách nhiệm và phụ cấp điện thoại được phê duyệt riêng, hiệu lực từ 01/04 đến 30/06/2026, khớp đúng với bảng công).</t>
  </si>
  <si>
    <t>TC-TH-009</t>
  </si>
  <si>
    <t>[Phụ cấp] Kiểm tra tính năng phân bổ chi phí kiêm nhiệm liên thông 2 chiều với hệ thống SAP — hệ thống có xuất được báo cáo nhưng thiếu chức năng nhận dữ liệu đầu vào.</t>
  </si>
  <si>
    <t>1. Kiểm tra mục "Phân bổ chi phí" trong danh mục các báo cáo có thể xuất.
2. Tìm màn hình cho phép nhận file tỷ lệ (%) phân bổ chi phí từ SAP hoặc từ bộ phận kế toán.</t>
  </si>
  <si>
    <t>Xác nhận CÓ mục "Phân bổ chi phí" ở phần xuất báo cáo, nhưng KHÔNG có màn hình đồng bộ 2 chiều (nhận tỷ lệ % phân bổ đầu vào, và đẩy kết quả ra SAP) như tài liệu yêu cầu mô tả.</t>
  </si>
  <si>
    <t>Đạt</t>
  </si>
  <si>
    <t>TC-TH-094</t>
  </si>
  <si>
    <t>[Phụ cấp] Kiểm tra hệ thống cộng đúng phụ cấp đi lại/ăn ca khi nhân viên công trường đi hỗ trợ NHIỀU công trình khác nhau trong CÙNG một tháng (không tính trường hợp điều động bộ phận chính thức).</t>
  </si>
  <si>
    <t>Công trình gốc A (định mức 500.000đ/tháng): 16 ngày công. Hỗ trợ công trình B (định mức 1.100.000đ/tháng): 5 ngày công. Hỗ trợ công trình C (định mức 800.000đ/tháng): 5 ngày công.</t>
  </si>
  <si>
    <t>1. Nhập dữ liệu của cả 3 lần di chuyển hỗ trợ công trình trong tháng.
2. Chạy tính phụ cấp đi lại/ăn ca.
3. Kiểm tra hệ thống cộng đúng theo TỪNG lần di chuyển (số ngày × định mức của từng công trình), không chỉ ghi nhận theo công trình cuối cùng hoặc công trình gốc cho cả tháng.</t>
  </si>
  <si>
    <t>Phụ cấp đi lại đúng = (16/26 × 500.000) + (5/26 × 1.100.000) + (5/26 × 800.000) = 307.692,31 + 211.538,46 + 153.846,15 = 673.077đ (làm tròn). Nếu hệ thống chỉ tính theo 1 công trình (gốc hoặc cuối cùng) cho cả tháng thì đây là một khoảng trống cần bộ phận Nghiệp vụ xác nhận có đúng chủ đích hay cần bổ sung cơ chế tính cho nhiều công trình trong cùng tháng.</t>
  </si>
  <si>
    <t>TC-TH-005</t>
  </si>
  <si>
    <t>[Thưởng] Kiểm tra xác nhận hệ thống KHÔNG có màn hình cấu hình quy tắc tính các loại thưởng (Thưởng Tết, Thưởng KPI, Lương tháng 13, Thưởng VLN).</t>
  </si>
  <si>
    <t>1. Vào màn hình Quản trị, rà soát toàn bộ 10 tab hiện có: Kỳ Lương, Hồi Tố Lương, Đồng Bộ Dữ Liệu, So Sánh Excel, Bảo Hiểm &amp; Thuế, Loại Ngày Nghỉ, Cấp Bậc Nhân Viên, Ngày Lễ, Phân Quyền, Nhật Ký Kiểm Tra.
2. Tìm xem có tab nào dùng để cấu hình Thưởng hay không.</t>
  </si>
  <si>
    <t>Không tìm thấy tab hay màn hình nào dùng để cấu hình Thưởng — mặc dù kết quả tính thưởng (ví dụ cột Thưởng KPI) vẫn được hiển thị trong bảng lương chính.</t>
  </si>
  <si>
    <t>TC-TH-010</t>
  </si>
  <si>
    <t>[Thưởng] Kiểm tra xác nhận hệ thống KHÔNG có màn hình cấu hình Thưởng đột xuất (loại thưởng được tính theo tỷ lệ dựa trên mức lương do HR thiết lập).</t>
  </si>
  <si>
    <t>1. Vào menu Cấu hình/Quản trị.
2. Rà soát toàn bộ các tab để tìm màn hình cấu hình Thưởng đột xuất.</t>
  </si>
  <si>
    <t>Không có màn hình này — thuộc nhóm chức năng chưa có giao diện, cần xây dựng mới hoàn toàn (toàn bộ phần cấu hình thưởng).</t>
  </si>
  <si>
    <t>TC-TH-011</t>
  </si>
  <si>
    <t>[Thưởng] Kiểm tra xác nhận hệ thống KHÔNG có màn hình cấu hình Thưởng VLN, đồng thời làm rõ định nghĩa của thuật ngữ "Thưởng VLN".</t>
  </si>
  <si>
    <t>1. Rà soát menu Cấu hình/Quản trị để tìm màn hình cấu hình Thưởng VLN.
2. Đối chiếu tài liệu yêu cầu gốc xem thuật ngữ "VLN" đã được định nghĩa rõ ràng hay chưa.</t>
  </si>
  <si>
    <t>Không có màn hình này. Tài liệu yêu cầu gốc còn để lại 2 câu hỏi mở chưa được trả lời: "Chưa rõ yêu cầu cụ thể" và "Thuật ngữ Thưởng VLN ở đây là gì?"</t>
  </si>
  <si>
    <t>TC-TH-029</t>
  </si>
  <si>
    <t>[Thưởng] Kiểm tra xác nhận hệ thống KHÔNG có màn hình cấu hình quy tắc thưởng (thời gian xét thưởng, mức trần linh động).</t>
  </si>
  <si>
    <t>1. Rà soát các màn hình Quản trị/Cấu hình.
2. Tìm màn hình cho phép thiết lập thời gian xét thưởng và mức trần linh động cho Thưởng Tết/KPI/Lương tháng 13/VLN.</t>
  </si>
  <si>
    <t>Không có màn hình này — trùng với khoảng trống đã được xác nhận ở các trường hợp cấu hình thưởng khác.</t>
  </si>
  <si>
    <t>TC-TH-080</t>
  </si>
  <si>
    <t>[Thưởng] [Dự thảo - chưa xây dựng] Công cụ cho phép HR tự tạo công thức thưởng hoàn toàn mới — cần xây dựng bộ test case riêng khi tính năng này được phát triển xong.</t>
  </si>
  <si>
    <t>Chưa thiết kế được các bước kiểm tra chi tiết — màn hình tự tạo công thức thưởng chưa tồn tại trên hệ thống thật (đã xác nhận ở trường hợp TC-TH-029). Khi tính năng được xây dựng xong, tối thiểu cần kiểm tra: (a) tạo mới 1 công thức hợp lệ; (b) sửa 1 công thức đã có; (c) kiểm tra hệ thống báo lỗi khi nhập công thức sai cú pháp; (d) kiểm tra trường hợp công thức trùng tên hoặc trùng phạm vi áp dụng.</t>
  </si>
  <si>
    <t>TC-TH-088</t>
  </si>
  <si>
    <t>[Thưởng] Kiểm tra cách tính Lương tháng 13/Thưởng Tết cho nhân viên mới vào làm GIỮA NĂM (chưa đủ 12 tháng công tác).</t>
  </si>
  <si>
    <t>6 tháng lương thực tế (tháng 7 đến tháng 12) = 20.000.000đ/tháng, đều nhau; không có dữ liệu 6 tháng đầu năm (do chưa vào làm).</t>
  </si>
  <si>
    <t>1. Chạy tính Lương tháng 13/Thưởng Tết cuối năm cho nhân viên này.
2. Kiểm tra công thức có tính theo đúng tỷ lệ số tháng thực tế công tác (6/12), không bị tính nhầm thành 0 hoặc tính đủ 100% như nhân viên làm đủ năm.</t>
  </si>
  <si>
    <t>CẦN bộ phận Nghiệp vụ xác nhận công thức tính cụ thể theo thâm niên làm việc (ví dụ: lấy bình quân 6 tháng thực tế nhân với tỷ lệ 6/12, hay áp dụng theo quy chế thưởng riêng của công ty) — hiện tài liệu yêu cầu và trường hợp kiểm tra đã có sẵn chỉ mô tả trường hợp "bình quân 12 tháng hợp lệ" (làm đủ năm), chưa có công thức cho trường hợp làm chưa đủ 12 tháng.</t>
  </si>
  <si>
    <t>TC-TH-091</t>
  </si>
  <si>
    <t>[Bảo hiểm xã hội — phần người lao động đóng] [Dự thảo - chưa xây dựng] Chế độ tử tuất khi nhân viên qua đời trong quá trình làm việc — hiện chưa có yêu cầu/công thức chính thức.</t>
  </si>
  <si>
    <t>Chưa thiết kế được các bước kiểm tra chi tiết vì tình huống này chưa có công thức/màn hình xử lý. Khi tính năng được xây dựng, tối thiểu cần kiểm tra: (a) trợ cấp mai táng (do cơ quan Bảo hiểm xã hội chi trả); (b) trợ cấp tuất một lần hoặc hàng tháng cho thân nhân; (c) thanh toán phần lương/phép/thưởng còn lại cho người thừa kế hợp pháp (chuyển vào tài khoản khác, không phải tài khoản của nhân viên); (d) quy trình chấm dứt hợp đồng đặc biệt, không đi qua các bước phê duyệt thông thường. Căn cứ Luật Bảo hiểm xã hội 2014 (chế độ tử tuất): trợ cấp mai táng = 10 tháng lương cơ sở hiện hành; trợ cấp tuất một lần hoặc hàng tháng tuỳ theo điều kiện của thân nhân.</t>
  </si>
  <si>
    <t>TC-TH-092</t>
  </si>
  <si>
    <t>[Bảo hiểm xã hội — phần người lao động đóng] [Dự thảo - chưa xây dựng] Trợ cấp mất việc làm (áp dụng khi công ty đơn phương chấm dứt hợp đồng do tái cơ cấu/lý do kinh tế) — hiện chưa có yêu cầu/công thức chính thức. LƯU Ý: không được nhầm lẫn với trợ cấp thôi việc ở trường hợp kiểm tra khác.</t>
  </si>
  <si>
    <t>Chưa thiết kế được các bước kiểm tra chi tiết. Khi tính năng được xây dựng, PHẢI phân biệt rõ với trợ cấp thôi việc (hệ số ½ tháng lương/năm, chỉ tính thời gian làm việc trước năm 2009): trợ cấp mất việc làm = 1 tháng lương/năm làm việc (không phải ½ tháng), tối thiểu 2 tháng lương, và được tính trên TOÀN BỘ thời gian làm việc (không giới hạn chỉ trước năm 2009).</t>
  </si>
  <si>
    <t>TC-TH-093</t>
  </si>
  <si>
    <t>[Bảo hiểm xã hội — phần người lao động đóng] [Dự thảo - chưa xây dựng] Trợ cấp/bồi thường khi thực tế xảy ra tai nạn lao động — khác với khoản phí bảo hiểm Tai nạn lao động - Bệnh nghề nghiệp đang được đóng hàng tháng.</t>
  </si>
  <si>
    <t>Chưa thiết kế được các bước kiểm tra chi tiết. Cần bộ phận Nghiệp vụ xác nhận: việc này có thuộc phạm vi xử lý của hệ thống tính lương hay không, hay do phòng An toàn lao động xử lý hồ sơ giám định riêng, rồi chỉ nhập số tiền trợ cấp vào hệ thống tính lương như một khoản dữ liệu đầu vào (tương tự cơ chế "Chế độ Bảo hiểm xã hội" đã có ở trường hợp kiểm tra khác).</t>
  </si>
  <si>
    <t>TC-TH-090</t>
  </si>
  <si>
    <t>[Thuế thu nhập cá nhân] Kiểm tra thu nhập chịu thuế luỹ kế và giảm trừ gia cảnh được cộng dồn đúng khi 1 nhân viên nghỉ việc rồi được tuyển dụng lại trong CÙNG một năm tính thuế.</t>
  </si>
  <si>
    <t>Thu nhập chịu thuế từ tháng 1 đến tháng 5 = 20.000.000đ/tháng (giai đoạn 1); nghỉ việc tháng 6-7; Thu nhập chịu thuế từ tháng 8 đến tháng 12 = 22.000.000đ/tháng (giai đoạn 2).</t>
  </si>
  <si>
    <t>1. Chạy quyết toán thuế thu nhập cá nhân cuối năm cho nhân viên này.
2. Kiểm tra thu nhập chịu thuế luỹ kế được cộng dồn ĐÚNG qua cả 2 giai đoạn làm việc (không bị mất lịch sử của giai đoạn 1).
3. Kiểm tra khoản giảm trừ gia cảnh không bị áp dụng trùng 2 lần cho cùng 1 người trong năm.</t>
  </si>
  <si>
    <t>Hệ thống phải nhận diện đây là CÙNG 1 người (theo mã số thuế) để cộng dồn thu nhập đúng — nếu hệ thống coi đây là 1 nhân viên hoàn toàn mới ở giai đoạn 2 (làm mất lịch sử thu nhập của giai đoạn 1), thuế thu nhập cá nhân cuối năm sẽ bị tính SAI (thiếu hoặc thừa) khi người này tự quyết toán hoặc khi công ty quyết toán thay.</t>
  </si>
  <si>
    <t>TC-TH-083</t>
  </si>
  <si>
    <t>[Bảo hiểm xã hội &amp; kinh phí công đoàn — phần công ty đóng] Kiểm tra khoản phí công đoàn của người lao động trên hệ thống thật có bị áp mức trần 253.000đ hay không.</t>
  </si>
  <si>
    <t>Ví dụ: Lương cơ bản = 60.000.000đ.</t>
  </si>
  <si>
    <t>1. Đọc phiếu lương thật của nhân viên này trên hệ thống thật (hoặc dữ liệu tính lương thực tế).
2. So sánh mức phí công đoàn thực tế với 2 giả thuyết: (a) lấy giá trị nhỏ hơn giữa (Lương cơ bản × 0,5%) và 253.000đ, tức = 253.000đ (có áp trần); (b) Lương cơ bản × 0,5% không áp trần = 300.000đ (theo dữ liệu cấu hình lương thực tế đã kiểm tra).</t>
  </si>
  <si>
    <t>Nếu phí công đoàn thực tế = 300.000đ (không phải 253.000đ) → xác nhận đúng là hệ thống KHÔNG áp mức trần như kỳ vọng, cần cập nhật lại công thức tính và kết quả mong đợi của các trường hợp kiểm tra liên quan cho khớp với hành vi thật, đồng thời báo cho bộ phận Nghiệp vụ về khoản chênh lệch đang bị khấu trừ sai cho nhóm nhân viên có mức lương cao.</t>
  </si>
  <si>
    <t>◆ 13 · Tích hợp dữ liệu (Workday/SAP/nhập thủ công)</t>
  </si>
  <si>
    <t>TC-TH-001</t>
  </si>
  <si>
    <t>[Tích hợp dữ liệu] Kiểm tra chức năng đồng bộ dữ liệu tổ chức từ hệ thống Workday qua 8 loại dữ liệu.</t>
  </si>
  <si>
    <t>Không cần dữ liệu mẫu — chỉ kiểm tra sự tồn tại và khả năng vận hành của màn hình đồng bộ.</t>
  </si>
  <si>
    <t>1. Mở màn hình quản lý đồng bộ dữ liệu.
2. Xác nhận đủ 8 loại đồng bộ dữ liệu tổ chức từ Workday: Phòng ban, Nơi làm việc, Nhân viên, Điều động &amp; Bổ nhiệm, Cấp bậc, Loại điều động, Vùng miền, Tỉnh/thành.
3. Xác nhận có thêm mục riêng "Đồng bộ Bảng Công Chi Tiết".</t>
  </si>
  <si>
    <t>Cả 8 loại đồng bộ dữ liệu tổ chức và mục "Đồng bộ Bảng Công Chi Tiết" đều hiển thị đầy đủ, có thể chạy đồng bộ được (lượt kiểm tra này không bấm chạy thật, chỉ xác nhận các mục có tồn tại).</t>
  </si>
  <si>
    <t>TC-TH-002</t>
  </si>
  <si>
    <t>[Tích hợp dữ liệu] Kiểm tra xác nhận hệ thống KHÔNG có mục đồng bộ riêng cho "Quyết định nghỉ việc".</t>
  </si>
  <si>
    <t>1. Mở màn hình quản lý đồng bộ dữ liệu.
2. Rà soát toàn bộ danh mục đồng bộ để tìm mục xử lý riêng cho "quyết định nghỉ việc" như tài liệu yêu cầu mô tả.</t>
  </si>
  <si>
    <t>Tài liệu yêu cầu có nêu việc đồng bộ "quyết định nghỉ việc" cùng các loại dữ liệu khác — nhưng trên hệ thống thật KHÔNG có mục đồng bộ riêng cho loại này (đã xác nhận).</t>
  </si>
  <si>
    <t>TC-TH-003</t>
  </si>
  <si>
    <t>[Tích hợp dữ liệu] Kiểm tra xác nhận hệ thống KHÔNG có màn hình đồng bộ dữ liệu phân bổ chi phí từ SAP.</t>
  </si>
  <si>
    <t>1. Rà soát toàn bộ các màn hình/tab của hệ thống.
2. Tìm xem có màn hình nào liên quan đến "SAP" hay không.</t>
  </si>
  <si>
    <t>Không tìm thấy kết quả nào — hệ thống không có màn hình nhận file phân bổ chi phí (ví dụ: 30% cho Dự án A, 70% cho Dự án B) từ SAP hay từ Workday.</t>
  </si>
  <si>
    <t>TC-TH-004</t>
  </si>
  <si>
    <t>[Tích hợp dữ liệu] Kiểm tra chức năng nhập dữ liệu thủ công qua Excel cho 8 loại phụ cấp (bao gồm nhập file, mẫu file, và lịch sử hiệu lực).</t>
  </si>
  <si>
    <t>File Excel mẫu (template) cho 1 loại phụ cấp.</t>
  </si>
  <si>
    <t>1. Mở màn hình nhập liệu.
2. Xác nhận có đủ: nút tải file mẫu, nút nhập file (import), và mục lịch sử hiệu lực cho từng loại phụ cấp.</t>
  </si>
  <si>
    <t>Cả 3 phần (file mẫu, nhập file, lịch sử hiệu lực) đều hiển thị đầy đủ cho cả 8 loại phụ cấp.</t>
  </si>
  <si>
    <t>TC-TH-006</t>
  </si>
  <si>
    <t>[Tích hợp dữ liệu] Kiểm tra danh sách công ty (pháp nhân) trong hệ thống có đúng theo quyết định mới nhất chưa: công ty 'Mắt Bão' được tách thành 2 công ty riêng theo Coteccons và Unicons, không còn gộp chung thành 1 công ty như trước.</t>
  </si>
  <si>
    <t>1. Mở màn hình Danh sách công ty
2. Xem toàn bộ danh sách các công ty (pháp nhân) đang hiển thị
3. Đối chiếu với tên 'Mắt Bão' được nhắc đến nhiều lần trong các tài liệu yêu cầu nghiệp vụ và quy trình HR liên quan</t>
  </si>
  <si>
    <t>Theo quyết định mới nhất của bộ phận Nghiệp vụ và HR (cập nhật 26/08/2026): danh sách công ty lấy dữ liệu từ Workday, và 'Mắt Bão' KHÔNG còn là 1 công ty gộp chung mà phải TÁCH THÀNH 2 công ty riêng gắn với Coteccons và Unicons (ví dụ: 'Mắt Bão - Coteccons' và 'Mắt Bão - Unicons'). Cần kiểm tra màn hình Danh sách công ty đã có đúng 2 mục này chưa — nếu vẫn chỉ thấy 4 công ty cũ (CTC/CTD/UNI/CVT), đây là phần CHƯA XÂY DỰNG theo quyết định mới, không còn đơn thuần là lỗi chính tả trong tài liệu như kết luận trước đây.</t>
  </si>
  <si>
    <t>Regression</t>
  </si>
  <si>
    <t>TC-TH-099</t>
  </si>
  <si>
    <t>[Tích hợp dữ liệu] [Chưa xây dựng] Phần tính tăng ca (OT) theo hệ số nhân từ nguồn dữ liệu Workday chưa cấu hình xong — Bảng chấm công có thể bị thiếu hoặc sai số liệu tăng ca (R48)</t>
  </si>
  <si>
    <t>TC-TH-100</t>
  </si>
  <si>
    <t>[Tích hợp dữ liệu] [Chưa xây dựng] 6 chỉ tiêu về phép tồn/nghỉ bù lấy từ Workday chưa được xác nhận nguồn dữ liệu — đang chờ bên phụ trách kiểm tra lại (R49)</t>
  </si>
  <si>
    <t>TC-TH-101</t>
  </si>
  <si>
    <t>[Tích hợp dữ liệu] [Chưa xây dựng] Chỉ tiêu Ngày vào làm/Ngày nghỉ việc đã có trong cấu trúc báo cáo Workday mới nhưng chưa có dữ liệu mẫu thật để kiểm tra (R50)</t>
  </si>
  <si>
    <t>◆ 14 · Quy trình phê duyệt</t>
  </si>
  <si>
    <t>TC-TH-012</t>
  </si>
  <si>
    <t>[Quy trình phê duyệt] Kiểm tra nút Phê duyệt/Từ chối cho một bước duyệt đơn giản có xuất hiện trên thanh công cụ trang Trang chủ Lương hay không</t>
  </si>
  <si>
    <t>1. Mở thanh công cụ 'Trang chủ' của trang Lương
2. Tìm nhóm nút 'Phê duyệt'</t>
  </si>
  <si>
    <t>Có đủ 2 nút: 'Phê duyệt' và 'Từ chối', được đặt cạnh nhóm nút 'Chỉnh sửa' — đã xác nhận thật qua ảnh chụp màn hình.</t>
  </si>
  <si>
    <t>TC-TH-013</t>
  </si>
  <si>
    <t>[Quy trình phê duyệt] Kiểm tra khi bấm nút 'Từ chối' có bắt buộc phải nhập lý do hay không (liên quan vòng lặp từ chối và trả hồ sơ về)</t>
  </si>
  <si>
    <t>1. Bấm nút 'Từ chối' trên thanh công cụ
2. Quan sát xem có xuất hiện ô bắt buộc nhập lý do hay không (không bấm xác nhận thật sự, vì thao tác ghi dữ liệu này nằm ngoài phạm vi kiểm tra chỉ-xem-giao-diện lần này)</t>
  </si>
  <si>
    <t>Theo yêu cầu nghiệp vụ, cần có ô bắt buộc nhập lý do khi từ chối — nhưng khi kiểm tra trên hệ thống thật, KHÔNG thấy ô này xuất hiện (đã xác nhận ngày 14/07/2026).</t>
  </si>
  <si>
    <t>TC-TH-014</t>
  </si>
  <si>
    <t>[Quy trình phê duyệt] Kiểm tra hệ thống có cấu hình thời hạn xử lý (SLA) hoặc đồng hồ đếm ngược hạn chót phê duyệt hay không</t>
  </si>
  <si>
    <t>1. Rà soát thanh công cụ trang Lương
2. Rà soát toàn bộ 10 tab của trang Quản trị hệ thống
3. Tìm cấu hình liên quan đến thời hạn xử lý (SLA) hoặc đồng hồ đếm ngược hạn chót</t>
  </si>
  <si>
    <t>Không tìm thấy đồng hồ đếm ngược hạn chót ngày 25, cũng không có cấu hình thời hạn xử lý (SLA) nào cho từng bước phê duyệt.</t>
  </si>
  <si>
    <t>TC-TH-015</t>
  </si>
  <si>
    <t>[Quy trình phê duyệt] Kiểm tra có nút 'HR Duyệt thay' riêng biệt, bắt buộc nhập lý do, và có đồng bộ ngược trạng thái về Workday hay không</t>
  </si>
  <si>
    <t>1. Tìm nút 'Duyệt thay' xem có tách biệt khỏi cặp nút Phê duyệt/Từ chối thông thường (đã xác nhận ở test case trước) hay không</t>
  </si>
  <si>
    <t>Yêu cầu nghiệp vụ cần có: nút 'Duyệt thay' riêng biệt + ô bắt buộc nhập lý do + đồng bộ ngược trạng thái 'Đã duyệt' về Workday (thuật ngữ hệ thống nhân sự cũ đã được xác nhận bỏ khỏi tài liệu yêu cầu — hệ thống hiện chỉ còn kết nối với Workday). Hiện CHƯA xác nhận được nút tách biệt này tồn tại (chỉ thấy 1 cặp nút Phê duyệt/Từ chối chung dùng cho tài khoản quản trị HR).</t>
  </si>
  <si>
    <t>TC-TH-016</t>
  </si>
  <si>
    <t>[Quy trình phê duyệt] Kiểm tra hồ sơ chấm công đang ở trạng thái 'Chờ duyệt' có bị tính nhầm vào Tổng ngày làm việc hưởng lương hay không</t>
  </si>
  <si>
    <t>Ngày công chính thức = 22 ngày (đã được duyệt) + 2 ngày công đang ở trạng thái 'Chờ duyệt', chưa ai duyệt.</t>
  </si>
  <si>
    <t>1. Chạy tính lương cho kỳ này
2. Kiểm tra chỉ tiêu Tổng ngày làm việc hưởng lương có bị cộng thêm 2 ngày đang 'Chờ duyệt' hay không</t>
  </si>
  <si>
    <t>Tổng ngày làm việc hưởng lương chỉ tính đúng 22 ngày đã được duyệt, KHÔNG cộng thêm 2 ngày đang chờ duyệt cho tới khi những ngày đó được duyệt.</t>
  </si>
  <si>
    <t>TC-TH-017</t>
  </si>
  <si>
    <t>[Quy trình phê duyệt] Kiểm tra hành vi Khóa/Mở khóa kỳ lương — sau khi khóa có dừng đồng bộ dữ liệu và chặn mọi thay đổi hay không</t>
  </si>
  <si>
    <t>Không cần dữ liệu mẫu — KHÔNG bấm nút Khóa thật (đây là thao tác ghi dữ liệu, nằm ngoài phạm vi kiểm tra 'chỉ xem giao diện' đã được cho phép trước đó).</t>
  </si>
  <si>
    <t>1. Xác nhận màn hình 'Kỳ Lương' tồn tại
2. Ghi nhận: hành vi khóa thật (hiển thị dòng thông báo 'Đã khóa', chặn đồng bộ dữ liệu, không truy thu tháng sau) cần một lượt kiểm tra riêng, có xin phép mở rộng phạm vi thao tác ghi dữ liệu</t>
  </si>
  <si>
    <t>Màn hình 'Kỳ Lương' tồn tại (kết quả đạt ở phần này), nhưng hành vi khóa/mở khóa thật CHƯA được kiểm chứng trong phạm vi lần kiểm tra chỉ-xem-giao-diện trước đó.</t>
  </si>
  <si>
    <t>TC-TH-078</t>
  </si>
  <si>
    <t>[Quy trình phê duyệt] Kiểm tra cơ chế 'truy thu vào kỳ sau' khi phát hiện chênh lệch lương sau khi kỳ lương đã khóa</t>
  </si>
  <si>
    <t>Không cần dữ liệu mẫu — chỉ xem giao diện, KHÔNG thao tác ghi dữ liệu (nằm ngoài phạm vi kiểm tra tự động hiện tại, xem thêm test case TC-TH-017).</t>
  </si>
  <si>
    <t>1. Tìm chức năng 'truy thu'/'hồi tố vào kỳ sau' gắn với kỳ lương đã khóa
2. Xác nhận giao diện có cho phép ghi nhận khoản chênh lệch để cộng/trừ vào kỳ lương kế tiếp hay không</t>
  </si>
  <si>
    <t>Kỳ vọng: có màn hình/luồng cho phép tạo khoản truy thu gắn với kỳ lương kế tiếp khi phát hiện sai lệch ở kỳ đã khóa — hiện CHƯA xác nhận được vì đây là tính năng mới theo yêu cầu nghiệp vụ, chưa từng được kiểm chứng trên hệ thống thật.</t>
  </si>
  <si>
    <t>TC-TH-079</t>
  </si>
  <si>
    <t>[Quy trình phê duyệt] Kiểm tra chức năng tạo thêm 1 phiên bản bảng lương đã chỉnh sửa SAU KHI kỳ lương đã chốt</t>
  </si>
  <si>
    <t>Không cần dữ liệu mẫu — chỉ xem giao diện, KHÔNG thao tác ghi dữ liệu.</t>
  </si>
  <si>
    <t>1. Tìm nút 'Tạo phiên bản mới'/'Sửa sau khi chốt' gắn với kỳ lương đã khóa
2. Xác nhận phiên bản cũ có được giữ lại (để đối chiếu, kiểm tra sau này) song song với phiên bản mới, hay bị ghi đè mất</t>
  </si>
  <si>
    <t>Kỳ vọng: có cơ chế lưu nhiều phiên bản, giữ cả bản gốc đã khóa lẫn bản chỉnh sửa mới, không ghi đè lên nhau — hiện CHƯA xác nhận được vì đây là tính năng mới theo yêu cầu nghiệp vụ, chưa từng được kiểm chứng trên hệ thống thật.</t>
  </si>
  <si>
    <t>TC-TH-087</t>
  </si>
  <si>
    <t>[Quy trình phê duyệt] Kiểm tra hành vi hệ thống khi sửa 1 dòng chấm công của nhân viên SAU KHI kỳ lương đã 'Tính lương' xong (nhưng chưa khóa)</t>
  </si>
  <si>
    <t>Sửa Ngày công thực tế của 1 nhân viên từ 22 → 24 ngày (bổ sung 2 ngày tăng ca bị quên chấm công).</t>
  </si>
  <si>
    <t>1. Sửa dòng chấm công của nhân viên
2. Quay lại màn hình bảng lương
3. Kiểm tra hệ thống có cảnh báo dữ liệu đã thay đổi cần tính lại hay vẫn giữ nguyên số cũ
4. Kiểm tra việc tính lại có ảnh hưởng tới các nhân viên KHÁC trong cùng kỳ hay chỉ đúng 1 người vừa được sửa
5. Kiểm tra nhật ký kiểm tra (audit log) có ghi nhận lần tính lại này hay không</t>
  </si>
  <si>
    <t>Hệ thống phải cảnh báo rõ ràng là dữ liệu đã thay đổi, chỉ cho phép tính lại đúng nhân viên bị sửa (không ảnh hưởng đến người khác), và nhật ký kiểm tra phải ghi đầy đủ ai đã sửa/sửa lúc nào/tính lại lúc nào. Nếu hệ thống âm thầm giữ nguyên số cũ, hoặc tính lại toàn bộ kỳ lương một cách không kiểm soát, đây là một thiếu sót vận hành nghiêm trọng.</t>
  </si>
  <si>
    <t>TC-TH-111</t>
  </si>
  <si>
    <t>[Quy trình phê duyệt] Trang 'Duyệt Của Tôi' — chưa từng được kiểm tra trước đây, được phát hiện qua rà soát mã nguồn ngày 15/08</t>
  </si>
  <si>
    <t>1. Đăng nhập, vào trang 'Duyệt Của Tôi'
2. Xác nhận danh sách hồ sơ chờ duyệt hiển thị đúng theo vai trò/công trường của tài khoản
3. Bấm Duyệt và Từ chối (khi bấm Từ chối, thử không nhập lý do trước để kiểm tra hệ thống có chặn hay không)</t>
  </si>
  <si>
    <t>Danh sách hiển thị đúng các hồ sơ đang chờ người dùng duyệt (không chỉ riêng kỳ lương đang mở); nút Duyệt/Từ chối hoạt động bình thường; khi Từ chối, hệ thống bắt buộc phải nhập lý do (nút bị vô hiệu hoá hoặc có thông báo chặn nếu bỏ trống).</t>
  </si>
  <si>
    <t>TC-TH-112</t>
  </si>
  <si>
    <t>[Quy trình phê duyệt] Trang cấu hình luật phê duyệt — chưa từng được kiểm tra trước đây, được phát hiện qua rà soát mã nguồn ngày 15/08</t>
  </si>
  <si>
    <t>1 luật phê duyệt mẫu: công ty = X, công trường = Y, bậc duyệt = 1, vai trò người duyệt = nhân viên C&amp;B.</t>
  </si>
  <si>
    <t>1. Vào trang cấu hình luật phê duyệt
2. Thêm 1 luật duyệt mới
3. Sửa luật vừa thêm
4. Xóa luật đó
5. Xác nhận luật mới áp dụng đúng phạm vi công ty/công trường đã chọn
6. Xác nhận KHÔNG có ô nhập thời hạn xử lý (SLA)/hạn chót (đối chiếu với kết luận 'Chưa làm' ở test case về SLA đã có trước đó)</t>
  </si>
  <si>
    <t>Thêm/Sửa/Xóa luật phê duyệt thành công; luật áp dụng đúng phạm vi công ty/công trường/bậc duyệt/vai trò người duyệt đã cấu hình; không có ô nhập thời hạn xử lý (SLA)/hạn chót — khớp với kết luận 'Chưa làm' đã ghi nhận trước đó.</t>
  </si>
  <si>
    <t>◆ 15 · Thông báo</t>
  </si>
  <si>
    <t>TC-TH-018</t>
  </si>
  <si>
    <t>[Thông báo] Kiểm tra hệ thống có cấu hình gửi nhắc nhở phê duyệt qua Teams Bot hay không (tần suất/giờ gửi)</t>
  </si>
  <si>
    <t>1. Rà soát đủ 10 tab của trang Quản trị hệ thống (Kỳ Lương, Hồi Tố Lương, Đồng bộ dữ liệu, So Sánh Excel, Bảo Hiểm &amp; Thuế, Loại Ngày Nghỉ, Cấp Bậc Nhân Viên, Ngày Lễ, Phân Quyền, Nhật ký kiểm tra)
2. Tìm xem có tab 'Thông báo'/'Teams' nào không</t>
  </si>
  <si>
    <t>Không có tab nào dùng để cấu hình Teams Bot — xác nhận tính năng này hoàn toàn chưa có.</t>
  </si>
  <si>
    <t>TC-TH-019</t>
  </si>
  <si>
    <t>[Thông báo] Kiểm tra hệ thống có báo cáo tổng hợp về tình trạng chậm trễ gửi cho Lãnh đạo hay không, và làm rõ nội dung báo cáo này gồm những gì</t>
  </si>
  <si>
    <t>1. Tìm báo cáo hoặc thông báo tự động về 'tổng hợp chậm trễ' gửi cho lãnh đạo vào ngày chốt số liệu</t>
  </si>
  <si>
    <t>Không có giao diện cho tính năng này. Tài liệu yêu cầu gốc còn để lại câu hỏi mở chưa được trả lời: 'tổng hợp những nội dung gì để gửi? chậm trễ ở đây cụ thể là gì?'</t>
  </si>
  <si>
    <t>TC-TH-020</t>
  </si>
  <si>
    <t>[Thông báo] Kiểm tra hệ thống có cơ chế thông báo leo thang (escalate) khi người duyệt quá hạn nhiều lần hay không</t>
  </si>
  <si>
    <t>1. Tìm cơ chế thông báo leo thang khi người quản lý quá hạn duyệt nhiều lần</t>
  </si>
  <si>
    <t>Không có giao diện cho tính năng này. Tài liệu yêu cầu gốc còn để lại câu hỏi mở chưa được trả lời: 'thông báo leo thang theo kiểu nào? cụ thể ra sao?'</t>
  </si>
  <si>
    <t>◆ 16 · Phân quyền &amp; bảo mật</t>
  </si>
  <si>
    <t>TC-TH-021</t>
  </si>
  <si>
    <t>[Phân quyền &amp; bảo mật] Kiểm tra đăng nhập một lần (SSO) qua tài khoản công ty (Azure AD) có thành công trên hệ thống thật hay không</t>
  </si>
  <si>
    <t>Tài khoản thật được lưu trong cấu hình môi trường kiểm tra tự động.</t>
  </si>
  <si>
    <t>1. Đăng nhập bằng tài khoản Office 365
2. Xác nhận hệ thống chuyển hướng qua trang đăng nhập công ty (Azure AD) rồi quay lại đúng ứng dụng</t>
  </si>
  <si>
    <t>Đăng nhập thành công; sau đó 37/38 màn hình tải được bình thường (không bị đưa ngược về trang đăng nhập).</t>
  </si>
  <si>
    <t>TC-TH-022</t>
  </si>
  <si>
    <t>[Phân quyền &amp; bảo mật] Kiểm tra ma trận phân quyền chi tiết theo từng vai trò (mỗi phân hệ x mỗi hành động)</t>
  </si>
  <si>
    <t>1. Mở trang Cấu hình vai trò
2. Vào tab 'Ma trận quyền hạn'
3. Xác nhận có đủ các hành động xem/tạo/sửa/xóa/duyệt/xuất dữ liệu cho từng phân hệ
4. Xác nhận có nút 'Thêm vai trò'</t>
  </si>
  <si>
    <t>Hiển thị đủ 5 vai trò hệ thống (Nhân viên C&amp;B, Nhân viên, Quản trị HR, Tra cứu hồ sơ, Quản trị công trường); ma trận có đầy đủ các hành động; có thể thêm vai trò mới.</t>
  </si>
  <si>
    <t>TC-TH-023</t>
  </si>
  <si>
    <t>[Phân quyền &amp; bảo mật] Kiểm tra vai trò 'Quản trị công trường' có bị ẩn cột thông tin Lương/Tính Lương hay không</t>
  </si>
  <si>
    <t>1. Mở tab 'Ma trận quyền hạn'
2. Chuyển đúng sang tab vai trò 'Quản trị công trường' (lượt kiểm tra trước chỉ dừng ở tab mặc định 'Nhân viên C&amp;B')
3. Kiểm tra ô chọn cột 'Lương'/'Tính Lương' có đang bị tắt hay không</t>
  </si>
  <si>
    <t>Yêu cầu nghiệp vụ quy định Thư ký công trường/Chỉ huy trưởng KHÔNG được thấy số tiền lương/phụ cấp — do đó ô chọn cột 'Lương' cần ở trạng thái bỏ chọn (tắt) cho vai trò Quản trị công trường.</t>
  </si>
  <si>
    <t>TC-TH-024</t>
  </si>
  <si>
    <t>[Phân quyền &amp; bảo mật] Kiểm tra việc cách ly dữ liệu theo từng công ty — đây là bộ lọc công ty đơn thuần trên từng màn hình hay là cơ chế cách ly xuyên suốt toàn hệ thống</t>
  </si>
  <si>
    <t>Dữ liệu của ít nhất 2 công ty trong hệ thống (CTC, CTD, UNI, CVT).</t>
  </si>
  <si>
    <t>1. Đăng nhập bằng tài khoản chỉ được gán cho công ty Unicons
2. Mở danh sách chọn 'Tất cả công ty' ở trang Lương
3. Thử mở các báo cáo/màn hình khác
4. Kiểm tra có thấy được dữ liệu của các công ty khác (CTC/CTD/CVT) hay không</t>
  </si>
  <si>
    <t>Nếu việc cách ly dữ liệu được thiết kế đúng, tài khoản này KHÔNG được thấy dữ liệu của công ty khác ở bất kỳ màn hình nào.</t>
  </si>
  <si>
    <t>TC-TH-025</t>
  </si>
  <si>
    <t>[Phân quyền &amp; bảo mật] [Lỗi đã xác nhận] Phân hệ Tự phục vụ nhân viên (ESS) vẫn tồn tại đầy đủ trên hệ thống dù đã có quyết định chính thức là hệ thống chỉ dành cho HR/C&amp;B</t>
  </si>
  <si>
    <t>1. Đăng nhập bằng tài khoản vai trò Nhân viên
2. Mở trang Hồ sơ cá nhân và Phiếu lương (thuộc phân hệ Tự phục vụ nhân viên)
3. Xác nhận có truy cập được hay không</t>
  </si>
  <si>
    <t>ĐÃ CHỐT (cập nhật 26/08/2026): bộ phận Nghiệp vụ xác nhận 'không cần vai trò trưởng bộ phận' — tài liệu yêu cầu vẫn đúng, không lỗi thời. Tuy nhiên, phân hệ Tự phục vụ nhân viên (trang Hồ sơ cá nhân, Phiếu lương) cùng 2 vai trò Nhân viên/Tra cứu hồ sơ hiện vẫn tồn tại trên hệ thống thật — ĐI NGƯỢC với quyết định đã chốt. Đây là LỖI cần báo cho bộ phận Nghiệp vụ/Đội phát triển, không còn là câu hỏi đang chờ chốt nữa.</t>
  </si>
  <si>
    <t>TC-TH-026</t>
  </si>
  <si>
    <t>[Phân quyền &amp; bảo mật] [Lỗi đã xác nhận] Nhật ký kiểm tra (Audit Log) không ghi lại được giá trị cũ chuyển sang giá trị mới, và không bắt buộc nhập lý do khi chỉnh sửa</t>
  </si>
  <si>
    <t>Không cần dữ liệu mẫu — xem 20 dòng ghi nhận gần nhất đã có sẵn.</t>
  </si>
  <si>
    <t>1. Mở trang Nhật ký kiểm tra
2. Xem cột 'Chi tiết' của 20 dòng gần nhất</t>
  </si>
  <si>
    <t>Yêu cầu nghiệp vụ quy định phải lưu 'giá trị cũ → mới, người thực hiện, thời gian, lý do bắt buộc' — nhưng hệ thống thật cho thấy cột 'Chi tiết' TRỐNG (chỉ hiện dấu gạch ngang '–') cho toàn bộ 20 dòng; hành động được ghi nhận chỉ là mã nội bộ kỹ thuật, không có nội dung mô tả rõ ràng, và không có ô lý do.</t>
  </si>
  <si>
    <t>Không đạt</t>
  </si>
  <si>
    <t>TC-TH-096</t>
  </si>
  <si>
    <t>[Phân quyền &amp; bảo mật] Kiểm tra hệ thống có ghi lại nhật ký truy cập/tải các báo cáo chứa dữ liệu cá nhân nhạy cảm (CCCD, lương, số tài khoản ngân hàng) hay không</t>
  </si>
  <si>
    <t>1. Xuất 1 báo cáo có chứa số tài khoản ngân hàng/CCCD
2. Kiểm tra trang Nhật ký kiểm tra hoặc nhật ký hệ thống có ghi nhận sự kiện 'đã xuất báo cáo X, ai xuất, lúc nào' hay không</t>
  </si>
  <si>
    <t>Cần có nhật ký riêng cho hành vi XEM/TẢI dữ liệu nhạy cảm (khác với nhật ký chỉnh sửa đã nêu ở test case trước) — nếu không có, công ty sẽ không có cách truy vết ai đã từng lấy dữ liệu tài khoản ngân hàng/CCCD của nhân viên ra khỏi hệ thống, gây rủi ro tuân thủ Nghị định 13/2023/NĐ-CP về bảo vệ dữ liệu cá nhân.</t>
  </si>
  <si>
    <t>TC-TH-098</t>
  </si>
  <si>
    <t>[Phân quyền &amp; bảo mật] Kiểm tra dữ liệu cá nhân nhạy cảm KHÔNG bị hiển thị cho vai trò không có thẩm quyền trong Nhật ký kiểm tra/khung lịch sử thay đổi</t>
  </si>
  <si>
    <t>1. Đăng nhập bằng vai trò không có thẩm quyền xem lương
2. Mở khung Lịch sử/Nhật ký kiểm tra của 1 hồ sơ nhân viên bất kỳ
3. Kiểm tra nội dung 'giá trị cũ → mới' có hiển thị số tiền lương/phụ cấp thật hay đã bị ẩn/che</t>
  </si>
  <si>
    <t>Nếu Nhật ký kiểm tra hiển thị đầy đủ số tiền lương thật (giá trị cũ → mới) cho vai trò không có quyền xem lương (test case trước đã xác nhận vai trò Quản trị công trường bị tắt cột Lương ở màn hình chính) — đây là LỖ HỔNG rò rỉ dữ liệu qua một đường khác (Nhật ký kiểm tra), dù màn hình chính đã chặn đúng. Cần ghi nhận lỗi (bug) ngay.</t>
  </si>
  <si>
    <t>TC-TH-102</t>
  </si>
  <si>
    <t>[Phân quyền &amp; bảo mật] [Chưa xây dựng] Đổi công thức tính thuế thu nhập cá nhân (theo biểu lũy tiến hoặc mức 10%) cho từng nhân viên qua thao tác thủ công — chưa có nhật ký ghi lại việc thay đổi này (R57)</t>
  </si>
  <si>
    <t>TC-TH-108</t>
  </si>
  <si>
    <t>[Phân quyền &amp; bảo mật] [Chưa xây dựng] Kiểm tra phân quyền theo vai trò/công ty cho chức năng xem tác động khi đổi công thức lương — chưa có test case trong bộ kiểm tra ma trận vai trò/đường dẫn hệ thống</t>
  </si>
  <si>
    <t>P3</t>
  </si>
  <si>
    <t>TC-TH-109</t>
  </si>
  <si>
    <t>[Phân quyền &amp; bảo mật] [Chưa xây dựng] Kiểm tra phân quyền theo vai trò/công ty cho chức năng xem nơi sử dụng của một khoản lương/phụ cấp — chưa có test case trong bộ kiểm tra ma trận vai trò/đường dẫn hệ thống</t>
  </si>
  <si>
    <t>TC-TH-110</t>
  </si>
  <si>
    <t>[Phân quyền &amp; bảo mật] [Chờ xây dựng] Kiểm tra việc sắp xếp lại thứ tự các khoản lương có bị giới hạn theo từng pháp nhân hay không — trường hợp này chưa có test, còn đang chờ xác nhận có giao diện sử dụng thật hay không.</t>
  </si>
  <si>
    <t>P4</t>
  </si>
  <si>
    <t>◆ 17 · Master data &amp; tuân thủ</t>
  </si>
  <si>
    <t>TC-TH-027</t>
  </si>
  <si>
    <t>[Master data &amp; tuân thủ] [Đã xác nhận không đạt] Không có màn hình nào để tự thiết lập bảng phụ cấp cho công ty "Mắt Bão"</t>
  </si>
  <si>
    <t>1. Đăng nhập bằng tài khoản Quản trị (Admin)
2. Tìm màn hình cho phép tự thiết lập bảng định mức phụ cấp của công ty Mắt Bão ngay trên hệ thống Payroll</t>
  </si>
  <si>
    <t>Không có màn hình này — kết luận càng chắc chắn hơn vì công ty "Mắt Bão" không nằm trong danh sách 4 pháp nhân thật của hệ thống (xem BRD-08).</t>
  </si>
  <si>
    <t>TC-TH-028</t>
  </si>
  <si>
    <t>[Master data &amp; tuân thủ] Kiểm tra màn hình cho phép nhập hàng loạt điều chỉnh BHXH và tự động tính lãi nộp chậm</t>
  </si>
  <si>
    <t>File Excel mẫu chứa danh sách điều chỉnh BHXH theo lô</t>
  </si>
  <si>
    <t>1. Mở tab "Sync Pipeline" (Đồng bộ dữ liệu)
2. Xác định xem đây có đúng là màn hình dùng để nhập hàng loạt điều chỉnh BHXH hay không
3. Nếu không phải, tìm màn hình riêng dành cho chức năng này</t>
  </si>
  <si>
    <t>Cần xác nhận rõ tab "Sync Pipeline" có đúng là nơi thực hiện chức năng nhập hàng loạt điều chỉnh BHXH và tự động tính lãi nộp chậm hay không — màn hình này chưa nằm trong danh sách các màn hình đã được kiểm tra kỹ ở lượt rà soát trước.</t>
  </si>
  <si>
    <t>TC-TH-030</t>
  </si>
  <si>
    <t>[Master data &amp; tuân thủ] Kiểm tra hệ thống có cho phép tự tạo khoản thu nhập miễn thuế mới hay chỉ sửa được các khoản có sẵn</t>
  </si>
  <si>
    <t>1. Mở màn hình cài đặt bảo hiểm
2. Xác nhận có mục "Lịch sử cấu hình" cho các tham số: mức trần đóng BHXH, mức trần đóng BHTN, giảm trừ bản thân, giảm trừ người phụ thuộc
3. Kiểm tra có nút "Thêm khoản miễn thuế mới" hay chỉ sửa được giá trị của các tham số đã có sẵn</t>
  </si>
  <si>
    <t>Yêu cầu nghiệp vụ (BRD-50) là hệ thống phải "linh hoạt định nghĩa khoản thu nhập miễn thuế theo cách công ty diễn giải luật" — cần xác nhận rõ hệ thống có cho tạo MỚI khoản miễn thuế tuỳ ý hay chỉ sửa được giá trị của các tham số cố định có sẵn.</t>
  </si>
  <si>
    <t>TC-TH-031</t>
  </si>
  <si>
    <t>[Master data &amp; tuân thủ] Kiểm tra khi cập nhật quy định pháp luật mới, hệ thống có lưu lại lịch sử theo từng ngày hiệu lực hay không</t>
  </si>
  <si>
    <t>1. Mở màn hình cài đặt bảo hiểm
2. Kiểm tra mục "Lịch sử cấu hình" có ghi rõ ngày hiệu lực cho từng tham số hay không</t>
  </si>
  <si>
    <t>Có mục "Lịch sử cấu hình" đầy đủ cho mọi tham số (mức trần đóng BHXH, mức trần đóng BHTN, giảm trừ bản thân, giảm trừ người phụ thuộc, các tỷ lệ đóng BHXH/BHYT/BHTN...), mỗi tham số đều ghi rõ ngày hiệu lực — kết quả này tốt hơn dự đoán ban đầu (dự đoán ban đầu là chỉ đáp ứng "một phần").</t>
  </si>
  <si>
    <t>TC-TH-032</t>
  </si>
  <si>
    <t>[Master data &amp; tuân thủ] [Lỗi nghiêm trọng đã xác nhận] Mức trần lương đóng BHXH bị lệch: tài liệu yêu cầu ghi 50.600.000đ nhưng hệ thống thật đang áp dụng 46.800.000đ</t>
  </si>
  <si>
    <t>Đối chiếu 2 nguồn: bảng tham số lương (ghi mức trần đóng BHXH = 50.600.000đ, có chú thích "số chuẩn đã được HR xác nhận") và giá trị thật đang áp dụng trên hệ thống</t>
  </si>
  <si>
    <t>1. Mở màn hình cài đặt bảo hiểm
2. Đọc giá trị mức trần đóng BHXH đang áp dụng và ngày hiệu lực
3. Đối chiếu với giá trị ghi trong bảng tham số lương của tài liệu yêu cầu</t>
  </si>
  <si>
    <t>Hệ thống thật đang áp dụng mức trần đóng BHXH = 46.800.000đ, hiệu lực từ 01/01/2025 — KHÁC với con số 50.600.000đ ghi trong tài liệu yêu cầu (được chú thích là "số chuẩn đã được HR xác nhận").</t>
  </si>
  <si>
    <t>TC-TH-081</t>
  </si>
  <si>
    <t>[Master data &amp; tuân thủ] [Chờ xây dựng] Chức năng cho phép HR tự cấu hình quy tắc khoản thu nhập miễn thuế — khi xây dựng xong sẽ cần một bộ test case riêng</t>
  </si>
  <si>
    <t>Chưa thiết kế được các bước kiểm tra chi tiết — cần chờ có giao diện thật. Khi xây dựng xong, tối thiểu cần kiểm tra: (a) tạo được khoản miễn thuế mới với tên/mã riêng, (b) xác nhận giá trị mặc định khi chưa cấu hình gì (liên quan đề xuất R23 — trần phụ cấp cơm), (c) kiểm tra giới hạn hợp lệ (không cho nhập số âm, không vượt quá mức lương)</t>
  </si>
  <si>
    <t>TC-TH-084</t>
  </si>
  <si>
    <t>[Master data &amp; tuân thủ] Kiểm tra khi sửa mức trần đóng BHXH trên màn hình cài đặt, giá trị mới có thực sự được áp dụng vào công thức tính lương thật hay không (nghi ngờ đây chỉ là "cấu hình cho có")</t>
  </si>
  <si>
    <t>Sửa mức trần đóng BHXH trên màn hình từ 46.800.000đ lên 50.600.000đ, áp dụng cho 1 kỳ lương thử nghiệm</t>
  </si>
  <si>
    <t>1. Sửa mức trần đóng BHXH trên màn hình cài đặt
2. Chạy lại tính lương cho 1 nhân viên có mức lương nằm trong khoảng từ 46,8 đến 50,6 triệu
3. So sánh số tiền BHXH/BHYT/BHTNLĐ-BNN trước và sau khi sửa cấu hình</t>
  </si>
  <si>
    <t>Nếu hệ thống hoạt động đúng như thiết kế, số tiền BHXH/BHYT/BHTNLĐ-BNN phải thay đổi theo giá trị mới. Tuy nhiên, theo phát hiện khi rà soát mã nguồn hệ thống, dự đoán là số tiền SẼ KHÔNG thay đổi, vì công thức tính BHXH/BHYT/BHTNLĐ-BNN (cả phần nhân viên đóng và công ty đóng) đang được viết cứng con số 46.800.000 ngay trong công thức, chứ không lấy từ giá trị cấu hình trên màn hình. Nếu đúng như dự đoán, đây là bằng chứng xác nhận hiện tượng "cấu hình cho có": sửa trên màn hình không tự động áp dụng vào lương thật của nhân viên.</t>
  </si>
  <si>
    <t>TC-TH-095</t>
  </si>
  <si>
    <t>[Master data &amp; tuân thủ] Kiểm tra các file báo cáo có chứa số CCCD/mã số thuế/số tài khoản ngân hàng của nhân viên có được kiểm soát quyền tải xuống/gửi ra ngoài hay không</t>
  </si>
  <si>
    <t>1. Xuất thử 1 báo cáo có chứa CCCD/mã số thuế/số tài khoản ngân hàng
2. Kiểm tra hệ thống có cảnh báo/yêu cầu xác nhận trước khi xuất file chứa dữ liệu nhạy cảm hay không
3. Kiểm tra file xuất ra có ở dạng mở (Excel thường, ai mở cũng được) hay có mã hoá/đặt mật khẩu bảo vệ</t>
  </si>
  <si>
    <t>Kỳ vọng tối thiểu: hệ thống phải có cảnh báo rõ ràng khi xuất file chứa dữ liệu cá nhân nhạy cảm. Nếu file xuất ra ở dạng hoàn toàn mở, không mã hoá, và không giới hạn việc gửi file này ra ngoài công ty, thì đây là một thiếu sót về tuân thủ, cần bộ phận nghiệp vụ/bảo mật xác nhận trước khi coi phần Báo cáo &amp; xuất dữ liệu là hoàn chỉnh.</t>
  </si>
  <si>
    <t>TC-TH-097</t>
  </si>
  <si>
    <t>[Master data &amp; tuân thủ] Kiểm tra hệ thống có cơ chế xoá/ẩn dữ liệu cá nhân của nhân viên đã nghỉ việc quá thời hạn lưu trữ theo quy định hay không</t>
  </si>
  <si>
    <t>1. Rà soát toàn hệ thống để tìm cơ chế/quy tắc tự động ẩn hoặc xoá dữ liệu cá nhân (số CCCD, số tài khoản, tình trạng hôn nhân...) của nhân viên đã nghỉ việc quá một số năm nhất định — số năm này theo đúng quy định lưu trữ hồ sơ lao động hiện hành</t>
  </si>
  <si>
    <t>Nếu không tìm thấy cơ chế nào, cần ghi nhận đây là một thiếu sót — cần bộ phận nghiệp vụ/pháp chế xác nhận đúng thời hạn lưu trữ theo luật (hồ sơ lao động, thuế, BHXH có thời hạn lưu trữ khác nhau) trước khi thiết kế cơ chế xoá/ẩn dữ liệu tự động.</t>
  </si>
  <si>
    <t>◆ 18 · Thao tác người dùng (UI)</t>
  </si>
  <si>
    <t>TC-TH-033</t>
  </si>
  <si>
    <t>[Thao tác người dùng] Kiểm tra luồng đăng nhập một lần (SSO) và chuyển hướng có đúng như mô tả hay không</t>
  </si>
  <si>
    <t>1. Bấm nút "Đăng nhập"
2. Quan sát hệ thống chuyển hướng sang trang đăng nhập của công ty (Azure AD)
3. Đăng nhập bằng tài khoản Office 365
4. Quan sát hệ thống chuyển hướng trở lại đúng trang ứng dụng Payroll (không phải trang "dashboard" như kịch bản kiểm tra cũ từng kỳ vọng)</t>
  </si>
  <si>
    <t>Chuyển hướng đúng cả hai chiều: sau khi đăng nhập thành công, hệ thống đưa người dùng về trang chủ rồi vào đúng màn hình Payroll.</t>
  </si>
  <si>
    <t>TC-TH-034</t>
  </si>
  <si>
    <t>[Thao tác người dùng] Kiểm tra trang chủ hiển thị đúng nội dung theo từng vai trò người dùng (menu/dữ liệu được lọc theo danh sách quyền truy cập tương ứng với từng vai trò)</t>
  </si>
  <si>
    <t>1. Đăng nhập lần lượt bằng các tài khoản có vai trò khác nhau
2. So sánh menu và các màn hình hiển thị giữa các vai trò</t>
  </si>
  <si>
    <t>Mỗi vai trò chỉ nhìn thấy menu và dữ liệu liên quan đến quyền hạn của mình, đúng khớp với danh sách phân quyền đã cấu hình trong hệ thống.</t>
  </si>
  <si>
    <t>BLOCK</t>
  </si>
  <si>
    <t>TC-TH-035</t>
  </si>
  <si>
    <t>[Thao tác người dùng] Kiểm tra thao tác chạy tính lương trên bảng tính kiểu Excel</t>
  </si>
  <si>
    <t>Kỳ lương "Tháng 05/2026"</t>
  </si>
  <si>
    <t>1. Chọn kỳ lương
2. Bấm nút "Tính lương"
3. Quan sát bảng kết quả hiển thị
4. Bấm vào 1 dòng bất kỳ để thử sửa trực tiếp</t>
  </si>
  <si>
    <t>Bảng kết quả hiển thị đầy đủ, sửa được trực tiếp ngay trên bảng — xác nhận đây chính là màn hình mặc định khi mở hệ thống (bảng tính kiểu Excel), KHÔNG phải là màn hình "Payroll" riêng như tên đường dẫn gợi ý.</t>
  </si>
  <si>
    <t>TC-TH-036</t>
  </si>
  <si>
    <t>[Thao tác người dùng] Kiểm tra bước "Gửi phê duyệt" có phải là một thao tác tách biệt với nút "Phê duyệt" hay đây là cùng một hành động</t>
  </si>
  <si>
    <t>1. Sau khi tính lương xong, tìm nút "Gửi" riêng biệt
2. Kiểm tra thao tác này có chuyển hồ sơ vào hàng chờ duyệt của Trưởng bộ phận hay không</t>
  </si>
  <si>
    <t>Mới chỉ xác nhận được có cặp nút "Phê duyệt/Từ chối" dùng chung (xem BRD-32) — CHƯA xác nhận được có bước "Gửi" tách biệt hay đây chính là một hành động ẩn nằm trong luồng xử lý.</t>
  </si>
  <si>
    <t>TC-TH-037</t>
  </si>
  <si>
    <t>[Thao tác người dùng] Kiểm tra thao tác Duyệt/Từ chối của Trưởng bộ phận (trước đây từng ghi nhận là thiếu ô nhập lý do bắt buộc)</t>
  </si>
  <si>
    <t>1. Mở hồ sơ đang chờ duyệt
2. Bấm "Từ chối"
3. Quan sát có ô nhập lý do bắt buộc hay không</t>
  </si>
  <si>
    <t>Đính chính ngày 15/08 (sau khi kiểm tra lại trực tiếp trên hệ thống): kết luận cũ "thiếu ô nhập lý do bắt buộc" KHÔNG còn đúng nữa. Xác nhận hiện tại CẢ HAI luồng duyệt và từ chối đều bắt buộc phải nhập lý do — nút bấm sẽ không dùng được cho tới khi có lý do. Kết quả này khớp đúng với yêu cầu BRD-33 ("Đã xong"), không còn là lỗi như mô tả cũ nữa.</t>
  </si>
  <si>
    <t>TC-TH-038</t>
  </si>
  <si>
    <t>[Thao tác người dùng] Kiểm tra thao tác Phê duyệt cuối cùng của Lãnh đạo cấp cao — trước đây từng ghi nhận thiếu đồng hồ đếm ngược hạn chót</t>
  </si>
  <si>
    <t>1. Mở danh sách hồ sơ chờ duyệt cuối
2. Tìm đồng hồ đếm ngược hạn chót (tới ngày 25 hàng tháng) trên màn hình</t>
  </si>
  <si>
    <t>Nút Duyệt/Từ chối dùng chung với cặp nút đã xác nhận ở BRD-32, nhưng KHÔNG thấy đồng hồ đếm ngược hạn chót nào trên màn hình — đây là thiếu sót trùng với BRD-34 đã ghi nhận trước đó.</t>
  </si>
  <si>
    <t>TC-TH-039</t>
  </si>
  <si>
    <t>[Thao tác người dùng] Kiểm tra thao tác HR duyệt thay cho người khác — có bắt buộc nhập lý do trước khi xác nhận hay không</t>
  </si>
  <si>
    <t>1. Tìm nút "Duyệt thay" bên cạnh hồ sơ đang chậm duyệt
2. Kiểm tra có ô nhập lý do bắt buộc trước khi bấm "Xác nhận" hay không</t>
  </si>
  <si>
    <t>Chưa xác nhận được có nút "Duyệt thay" tách biệt hay không — đây là thiếu sót trùng với BRD-35 đã ghi nhận trước đó.</t>
  </si>
  <si>
    <t>TC-TH-040</t>
  </si>
  <si>
    <t>[Thao tác người dùng] Kiểm tra thao tác Khóa/Mở khóa kỳ lương — có hiển thị dòng thông báo "Đã khóa" và có yêu cầu quyền Quản trị viên để mở khóa hay không</t>
  </si>
  <si>
    <t>Không thực hiện thao tác bấm Khóa thật (vì đây là thao tác ghi dữ liệu, ngoài phạm vi đã được cho phép)</t>
  </si>
  <si>
    <t>1. Xác nhận màn hình "Kỳ Lương" tồn tại trên hệ thống
2. Ghi chú: hành vi khóa/dòng thông báo/yêu cầu quyền Quản trị để mở khóa cần một lượt kiểm tra riêng, sau khi được mở rộng phạm vi thao tác</t>
  </si>
  <si>
    <t>Màn hình "Kỳ Lương" tồn tại (kết quả xác nhận được); còn hành vi thao tác ghi dữ liệu thật (khóa/mở khóa) thì chưa được kiểm tra.</t>
  </si>
  <si>
    <t>TC-TH-041</t>
  </si>
  <si>
    <t>[Thao tác người dùng] Kiểm tra xác nhận hệ thống KHÔNG có màn hình cấu hình thông báo qua Teams (tần suất/giờ nhắc duyệt hồ sơ)</t>
  </si>
  <si>
    <t>1. Rà soát đầy đủ toàn bộ 10 tab trong mục quản trị hệ thống
2. Tìm màn hình cấu hình thông báo, cho phép đặt tần suất/giờ nhắc duyệt</t>
  </si>
  <si>
    <t>Không có màn hình này — trùng với thiếu sót đã ghi nhận ở BRD-38.</t>
  </si>
  <si>
    <t>TC-TH-042</t>
  </si>
  <si>
    <t>[Thao tác người dùng] [Đã xác nhận không đạt] Không có thao tác Thêm/Sửa/Xoá nào cho bảng phụ cấp của công ty Mắt Bão</t>
  </si>
  <si>
    <t>1. Tìm nút Thêm/Sửa/Xoá trên dòng dữ liệu bảng phụ cấp của công ty Mắt Bão</t>
  </si>
  <si>
    <t>Không tồn tại các nút này — trùng với thiếu sót đã ghi nhận ở BRD-47, càng chắc chắn hơn vì "Mắt Bão" không nằm trong danh sách các pháp nhân thật của hệ thống.</t>
  </si>
  <si>
    <t>TC-TH-043</t>
  </si>
  <si>
    <t>[Thao tác người dùng] Kiểm tra thao tác nhập hàng loạt điều chỉnh BHXH — tải file lên, thực hiện nhập, xem tổng hợp kết quả thành công/lỗi</t>
  </si>
  <si>
    <t>1. Tìm nút "Tải file lên"/"Nhập dữ liệu"
2. Thực hiện tải file lên và nhập dữ liệu
3. Kiểm tra màn hình tổng hợp kết quả thành công/lỗi sau khi nhập</t>
  </si>
  <si>
    <t>Chưa xác nhận rõ tab nào đảm nhiệm chức năng này (có thể là tab "Sync Pipeline" - Đồng bộ dữ liệu) — trùng với vấn đề đã ghi nhận ở BRD-48.</t>
  </si>
  <si>
    <t>TC-TH-044</t>
  </si>
  <si>
    <t>[Thao tác người dùng] Kiểm tra thao tác xuất báo cáo — chọn loại báo cáo, lọc dữ liệu, xuất file (hệ thống có 17 loại báo cáo khả dụng)</t>
  </si>
  <si>
    <t>Bộ lọc: tháng, pháp nhân, bộ phận</t>
  </si>
  <si>
    <t>1. Mở màn hình báo cáo
2. Chọn 1 loại báo cáo từ danh sách thả xuống
3. Thiết lập bộ lọc (tháng, pháp nhân, bộ phận)
4. Bấm "Xuất" (không thực sự tải file, chỉ xác nhận đủ các bước trên giao diện)</t>
  </si>
  <si>
    <t>Danh mục xác nhận đúng có 17 loại báo cáo khả dụng thật, luồng thao tác chọn loại báo cáo → lọc dữ liệu → xuất file đầy đủ các bước.</t>
  </si>
  <si>
    <t>TC-TH-045</t>
  </si>
  <si>
    <t>[Thao tác người dùng] [Đã xác nhận không đạt] Không xem được chi tiết từ Dashboard dành cho Lãnh đạo — dashboard chỉ hiển thị số liệu tĩnh, không bấm vào để xem chi tiết được</t>
  </si>
  <si>
    <t>1. Bấm vào tên một quản lý trong danh sách "chậm duyệt" trên dashboard
2. Kiểm tra có mở được màn hình chi tiết các hồ sơ chờ duyệt của quản lý đó hay không</t>
  </si>
  <si>
    <t>Dashboard hiện tại chỉ hiển thị con số "Chờ duyệt" dạng số liệu tĩnh, KHÔNG bấm vào được, không có màn hình chi tiết theo từng quản lý.</t>
  </si>
  <si>
    <t>TC-TH-046</t>
  </si>
  <si>
    <t>[Thao tác người dùng] Kiểm tra thao tác xem nhật ký thay đổi (audit log) — bảng chi tiết có hiển thị giá trị cũ→mới, người thực hiện, lý do hay không</t>
  </si>
  <si>
    <t>1. Bấm biểu tượng "Lịch sử" trên hồ sơ
2. Mở bảng chi tiết
3. Xem nội dung giá trị cũ→mới, người thực hiện, lý do</t>
  </si>
  <si>
    <t>Cột "Chi tiết" bị trống — cùng lỗi đã xác nhận ở BRD-46, bảng không hiển thị nội dung mô tả kèm theo.</t>
  </si>
  <si>
    <t>TC-TH-082</t>
  </si>
  <si>
    <t>[Thao tác người dùng] Kiểm tra hộp thoại xác nhận Có/Không khi HR bấm đồng bộ dữ liệu từ Workday trong lúc đã tự sửa tay bảng công</t>
  </si>
  <si>
    <t>Không cần dữ liệu mẫu — chỉ xem giao diện, KHÔNG bấm nút đồng bộ thật (vì đây là thao tác ghi dữ liệu, ngoài phạm vi kiểm tra tự động hiện tại)</t>
  </si>
  <si>
    <t>1. Bấm nút "Đồng bộ từ Workday"
2. Quan sát có hộp thoại xác nhận ghi đè (Có/Không) xuất hiện hay hệ thống tự động ghi đè luôn mà không hỏi</t>
  </si>
  <si>
    <t>Kỳ vọng: hộp thoại hỏi "Có muốn ghi đè dữ liệu đã sửa tay bằng dữ liệu từ Workday không?" với 2 lựa chọn Có/Không — hiện CHƯA xác nhận được trên hệ thống thật, cần thực hiện một lượt kiểm tra QA thật.</t>
  </si>
  <si>
    <t>TC-TH-105</t>
  </si>
  <si>
    <t>[Thao tác người dùng] [Chờ xây dựng] Chức năng xoá cột lương — tính năng mới, có rủi ro mất dữ liệu, chưa có đặc tả test</t>
  </si>
  <si>
    <t>TC-TH-106</t>
  </si>
  <si>
    <t>[Thao tác người dùng] [Chờ xây dựng] Bảng hiển thị tác động khi sửa công thức cột lương — hiện chưa có test nào ở cả 3 tầng kiểm tra</t>
  </si>
  <si>
    <t>TC-TH-107</t>
  </si>
  <si>
    <t>[Thao tác người dùng] [Chờ xây dựng] Màn hình tạo cột lương mới qua hộp thoại pop-up — hiện chưa có test nào, đây là phạm vi khác với BRD-49/50</t>
  </si>
  <si>
    <t>TC-TH-113</t>
  </si>
  <si>
    <t>[Thao tác người dùng] Kiểm tra hộp thoại "Ghi đè từ Workday?" khi HR bấm đồng bộ lại trong lúc đã tự sửa bảng công (lựa chọn Có/Không)</t>
  </si>
  <si>
    <t>1 kỳ lương, 1 dòng chấm công đã được sửa tay khác với dữ liệu Workday</t>
  </si>
  <si>
    <t>1. Tự sửa tay 1 dòng chấm công
2. Bấm "Đồng bộ" lại từ Workday cho cùng kỳ lương đó
3. Quan sát có hộp thoại xác nhận ghi đè xuất hiện hay không</t>
  </si>
  <si>
    <t>Hệ thống hiện hộp thoại hỏi có muốn ghi đè dữ liệu đã sửa tay bằng dữ liệu mới từ Workday hay không (Có/Không) — chọn "Không" thì giữ nguyên dữ liệu đã sửa tay, chọn "Có" thì ghi đè bằng dữ liệu Workday mới nhất.</t>
  </si>
  <si>
    <t>Chưa chạy</t>
  </si>
  <si>
    <t>◆ 19 · Báo cáo &amp; xuất dữ liệu</t>
  </si>
  <si>
    <t>TC-TH-047</t>
  </si>
  <si>
    <t>[Báo cáo &amp; xuất dữ liệu] Kiểm tra báo cáo "Báo cáo Phân bổ chi phí" có nằm trong danh sách 17 báo cáo thật đang chạy trên hệ thống thật (production) hay không.</t>
  </si>
  <si>
    <t>File mẫu đối chiếu: HR_ Tong hop chi phi Phong Ban bo xuong du an - FY2026.xlsx</t>
  </si>
  <si>
    <t>1. Mở màn hình Báo cáo.
2. Tìm báo cáo "Báo cáo Phân bổ chi phí" trong danh sách.
3. Xác nhận có thể chọn được báo cáo này và có bước lọc dữ liệu + xuất file.</t>
  </si>
  <si>
    <t>Báo cáo này có thật trong danh sách 17 báo cáo đang dùng được (đã xác nhận ngày 14/07/2026). Tuy nhiên vẫn cần đối chiếu thêm các cột dữ liệu với file mẫu của HR trước khi kết luận là khớp hoàn toàn.</t>
  </si>
  <si>
    <t>TC-TH-048</t>
  </si>
  <si>
    <t>[Báo cáo &amp; xuất dữ liệu] Kiểm tra báo cáo "Báo cáo Trích nộp BHXH" có nằm trong danh sách 17 báo cáo thật đang chạy trên hệ thống thật (production) hay không.</t>
  </si>
  <si>
    <t>File mẫu đối chiếu: HR_Bao hiem.xlsx</t>
  </si>
  <si>
    <t>1. Mở màn hình Báo cáo.
2. Tìm báo cáo "Báo cáo Trích nộp BHXH" trong danh sách.
3. Xác nhận có thể chọn được báo cáo này và có bước lọc dữ liệu + xuất file.</t>
  </si>
  <si>
    <t>TC-TH-049</t>
  </si>
  <si>
    <t>[Báo cáo &amp; xuất dữ liệu] Kiểm tra báo cáo "Báo cáo Quyết toán Thuế TNCN cuối năm" có nằm trong danh sách 17 báo cáo thật đang chạy trên hệ thống thật (production) hay không.</t>
  </si>
  <si>
    <t>File mẫu đối chiếu: HR_BANG TONG HOP PIT 2026.xlsx (sheet SUMMARY)</t>
  </si>
  <si>
    <t>1. Mở màn hình Báo cáo.
2. Tìm báo cáo "Báo cáo Quyết toán Thuế TNCN cuối năm" trong danh sách.
3. Xác nhận có thể chọn được báo cáo này và có bước lọc dữ liệu + xuất file.</t>
  </si>
  <si>
    <t>TC-TH-050</t>
  </si>
  <si>
    <t>[Báo cáo &amp; xuất dữ liệu] Kiểm tra báo cáo "Báo cáo Chấm công &amp; Phụ cấp hàng tháng" có nằm trong danh sách 17 báo cáo thật đang chạy trên hệ thống thật (production) hay không.</t>
  </si>
  <si>
    <t>Đối chiếu với file mẫu được ghi trong tài liệu theo dõi yêu cầu (BRD Tracker), nếu có.</t>
  </si>
  <si>
    <t>1. Mở màn hình Báo cáo.
2. Tìm báo cáo "Báo cáo Chấm công &amp; Phụ cấp hàng tháng" trong danh sách.
3. Xác nhận có thể chọn được báo cáo này và có bước lọc dữ liệu + xuất file.</t>
  </si>
  <si>
    <t>TC-TH-051</t>
  </si>
  <si>
    <t>[Báo cáo &amp; xuất dữ liệu] Kiểm tra báo cáo "Báo cáo Chi tiết Tăng ca &amp; Phụ cấp" có nằm trong danh sách 17 báo cáo thật đang chạy trên hệ thống thật (production) hay không.</t>
  </si>
  <si>
    <t>1. Mở màn hình Báo cáo.
2. Tìm báo cáo "Báo cáo Chi tiết Tăng ca &amp; Phụ cấp" trong danh sách.
3. Xác nhận có thể chọn được báo cáo này và có bước lọc dữ liệu + xuất file.</t>
  </si>
  <si>
    <t>TC-TH-052</t>
  </si>
  <si>
    <t>[Báo cáo &amp; xuất dữ liệu] Kiểm tra báo cáo "Báo cáo Thu hộ Bảo hiểm Sức khỏe Bảo Việt" có nằm trong danh sách 17 báo cáo thật đang chạy trên hệ thống thật (production) hay không.</t>
  </si>
  <si>
    <t>1. Mở màn hình Báo cáo.
2. Tìm báo cáo "Báo cáo Thu hộ Bảo hiểm Sức khỏe Bảo Việt" trong danh sách.
3. Xác nhận có thể chọn được báo cáo này và có bước lọc dữ liệu + xuất file.</t>
  </si>
  <si>
    <t>TC-TH-053</t>
  </si>
  <si>
    <t>[Báo cáo &amp; xuất dữ liệu] Kiểm tra báo cáo "Báo cáo Thưởng Giới thiệu ứng viên nội bộ" có nằm trong danh sách 17 báo cáo thật đang chạy trên hệ thống thật (production) hay không.</t>
  </si>
  <si>
    <t>1. Mở màn hình Báo cáo.
2. Tìm báo cáo "Báo cáo Thưởng Giới thiệu ứng viên nội bộ" trong danh sách.
3. Xác nhận có thể chọn được báo cáo này và có bước lọc dữ liệu + xuất file.</t>
  </si>
  <si>
    <t>TC-TH-054</t>
  </si>
  <si>
    <t>[Báo cáo &amp; xuất dữ liệu] Kiểm tra báo cáo "Báo cáo Kinh phí Công đoàn" có nằm trong danh sách 17 báo cáo thật đang chạy trên hệ thống thật (production) hay không.</t>
  </si>
  <si>
    <t>1. Mở màn hình Báo cáo.
2. Tìm báo cáo "Báo cáo Kinh phí Công đoàn" trong danh sách.
3. Xác nhận có thể chọn được báo cáo này và có bước lọc dữ liệu + xuất file.</t>
  </si>
  <si>
    <t>TC-TH-055</t>
  </si>
  <si>
    <t>[Báo cáo &amp; xuất dữ liệu] Kiểm tra báo cáo "Báo cáo Lương bình quân hàng tháng" có nằm trong danh sách 17 báo cáo thật đang chạy trên hệ thống thật (production) hay không.</t>
  </si>
  <si>
    <t>1. Mở màn hình Báo cáo.
2. Tìm báo cáo "Báo cáo Lương bình quân hàng tháng" trong danh sách.
3. Xác nhận có thể chọn được báo cáo này và có bước lọc dữ liệu + xuất file.</t>
  </si>
  <si>
    <t>TC-TH-056</t>
  </si>
  <si>
    <t>[Báo cáo &amp; xuất dữ liệu] Kiểm tra chức năng "Trích xuất Dữ liệu Hạch toán (Sổ cái kế toán) gửi phòng Kế toán" có nằm trong danh sách 17 báo cáo thật đang chạy trên hệ thống thật (production) hay không.</t>
  </si>
  <si>
    <t>1. Mở màn hình Báo cáo.
2. Tìm chức năng "Trích xuất Dữ liệu Hạch toán (Sổ cái kế toán)" trong danh sách.
3. Xác nhận có thể chọn được báo cáo này và có bước lọc dữ liệu + xuất file.</t>
  </si>
  <si>
    <t>TC-TH-057</t>
  </si>
  <si>
    <t>[Báo cáo &amp; xuất dữ liệu] Kiểm tra báo cáo "Báo cáo Điều chỉnh Bổ sung Lương" có nằm trong danh sách 17 báo cáo thật đang chạy trên hệ thống thật (production) hay không.</t>
  </si>
  <si>
    <t>1. Mở màn hình Báo cáo.
2. Tìm báo cáo "Báo cáo Điều chỉnh Bổ sung Lương" trong danh sách.
3. Xác nhận có thể chọn được báo cáo này và có bước lọc dữ liệu + xuất file.</t>
  </si>
  <si>
    <t>TC-TH-058</t>
  </si>
  <si>
    <t>[Báo cáo &amp; xuất dữ liệu] Kiểm tra báo cáo "Báo cáo Đề xuất Thưởng đột xuất" có nằm trong danh sách 17 báo cáo thật đang chạy trên hệ thống thật (production) hay không.</t>
  </si>
  <si>
    <t>1. Mở màn hình Báo cáo.
2. Tìm báo cáo "Báo cáo Đề xuất Thưởng đột xuất" trong danh sách.
3. Xác nhận có thể chọn được báo cáo này và có bước lọc dữ liệu + xuất file.</t>
  </si>
  <si>
    <t>TC-TH-059</t>
  </si>
  <si>
    <t>[Báo cáo &amp; xuất dữ liệu] Kiểm tra báo cáo "Báo cáo Tách công Thử việc - Chính thức" có nằm trong danh sách 17 báo cáo thật đang chạy trên hệ thống thật (production) hay không.</t>
  </si>
  <si>
    <t>1. Mở màn hình Báo cáo.
2. Tìm báo cáo "Báo cáo Tách công Thử việc - Chính thức" trong danh sách.
3. Xác nhận có thể chọn được báo cáo này và có bước lọc dữ liệu + xuất file.</t>
  </si>
  <si>
    <t>TC-TH-060</t>
  </si>
  <si>
    <t>[Báo cáo &amp; xuất dữ liệu] Kiểm tra báo cáo "Báo cáo Trích lập Quỹ thưởng" có nằm trong danh sách 17 báo cáo thật đang chạy trên hệ thống thật (production) hay không.</t>
  </si>
  <si>
    <t>1. Mở màn hình Báo cáo.
2. Tìm báo cáo "Báo cáo Trích lập Quỹ thưởng" trong danh sách.
3. Xác nhận có thể chọn được báo cáo này và có bước lọc dữ liệu + xuất file.</t>
  </si>
  <si>
    <t>TC-TH-061</t>
  </si>
  <si>
    <t>[Báo cáo &amp; xuất dữ liệu] Kiểm tra báo cáo "Báo cáo Master Tỷ lệ Phân bổ chi phí" có nằm trong danh sách 17 báo cáo thật đang chạy trên hệ thống thật (production) hay không.</t>
  </si>
  <si>
    <t>1. Mở màn hình Báo cáo.
2. Tìm báo cáo "Báo cáo Master Tỷ lệ Phân bổ chi phí" trong danh sách.
3. Xác nhận có thể chọn được báo cáo này và có bước lọc dữ liệu + xuất file.</t>
  </si>
  <si>
    <t>TC-TH-062</t>
  </si>
  <si>
    <t>[Báo cáo &amp; xuất dữ liệu] Kiểm tra "Mẫu file chuyển khoản ngân hàng — định dạng TPBank" có nằm trong danh sách 17 báo cáo thật đang chạy trên hệ thống thật (production) hay không.</t>
  </si>
  <si>
    <t>1. Mở màn hình Báo cáo.
2. Tìm "Mẫu file chuyển khoản ngân hàng — định dạng TPBank" trong danh sách.
3. Xác nhận có thể chọn được và có bước lọc dữ liệu + xuất file.</t>
  </si>
  <si>
    <t>Mẫu file này có thật trong danh sách 17 báo cáo đang dùng được (đã xác nhận ngày 14/07/2026). Tuy nhiên vẫn cần đối chiếu thêm các cột dữ liệu với file mẫu của HR trước khi kết luận là khớp hoàn toàn.</t>
  </si>
  <si>
    <t>TC-TH-063</t>
  </si>
  <si>
    <t>[Báo cáo &amp; xuất dữ liệu] Kiểm tra "Mẫu file chuyển khoản ngân hàng — định dạng các ngân hàng khác, kèm danh mục ngân hàng" có nằm trong danh sách 17 báo cáo thật đang chạy trên hệ thống thật (production) hay không.</t>
  </si>
  <si>
    <t>1. Mở màn hình Báo cáo.
2. Tìm "Mẫu file chuyển khoản ngân hàng — định dạng các ngân hàng khác, kèm danh mục ngân hàng" trong danh sách.
3. Xác nhận có thể chọn được và có bước lọc dữ liệu + xuất file.</t>
  </si>
  <si>
    <t>TC-TH-064</t>
  </si>
  <si>
    <t>[Báo cáo &amp; xuất dữ liệu] Kiểm tra xem báo cáo "Bảng lương trình ký (mẫu số 0)" có đang bị thiếu trong danh sách báo cáo thật (production) hay không.</t>
  </si>
  <si>
    <t>1. Mở màn hình Báo cáo.
2. Rà soát toàn bộ danh sách để tìm báo cáo "Bảng lương trình ký (mẫu số 0)".</t>
  </si>
  <si>
    <t>Không tìm thấy báo cáo "Bảng lương trình ký (mẫu số 0)" trong 17 báo cáo đang dùng được — có thể phần này chưa được xây dựng, hoặc đã có nhưng nằm ở màn hình khác chứ không thuộc danh mục báo cáo chuẩn. Yêu cầu ban đầu là báo cáo này phải gộp được nhân sự làm việc ở nhiều dự án về dự án cuối cùng (nơi họ làm việc vào ngày 20 trong kỳ lương) để trình Chỉ huy trưởng công trình ký duyệt.</t>
  </si>
  <si>
    <t>TC-TH-065</t>
  </si>
  <si>
    <t>[Báo cáo &amp; xuất dữ liệu] Kiểm tra xem báo cáo "Bảng lương tổng hợp (mẫu số 2)" có đang bị thiếu trong danh sách báo cáo thật (production) hay không.</t>
  </si>
  <si>
    <t>1. Mở màn hình Báo cáo.
2. Rà soát toàn bộ danh sách để tìm báo cáo "Bảng lương tổng hợp (mẫu số 2)".</t>
  </si>
  <si>
    <t>Không tìm thấy báo cáo "Bảng lương tổng hợp (mẫu số 2)" trong 17 báo cáo đang dùng được — có thể phần này chưa được xây dựng, hoặc đã có nhưng nằm ở màn hình khác chứ không thuộc danh mục báo cáo chuẩn. File mẫu tham chiếu cho báo cáo này: Payroll_0904.xlsx.</t>
  </si>
  <si>
    <t>TC-TH-066</t>
  </si>
  <si>
    <t>[Báo cáo &amp; xuất dữ liệu] Kiểm tra xem báo cáo "Báo cáo So sánh chênh lệch Lương/Công" có đang bị thiếu trong danh sách báo cáo thật (production) hay không.</t>
  </si>
  <si>
    <t>1. Mở màn hình Báo cáo.
2. Rà soát toàn bộ danh sách để tìm báo cáo "Báo cáo So sánh chênh lệch Lương/Công".</t>
  </si>
  <si>
    <t>Không tìm thấy báo cáo "Báo cáo So sánh chênh lệch Lương/Công" trong 17 báo cáo đang dùng được — có thể phần này chưa được xây dựng, hoặc đã có nhưng nằm ở màn hình khác chứ không thuộc danh mục báo cáo chuẩn. File mẫu tham chiếu: Consolidate Payroll.xlsx — lưu ý có khả năng trùng một phần với báo cáo "Báo cáo Tổng hợp Lương (so sánh thu nhập)" đang kiểm tra ở mục khác.</t>
  </si>
  <si>
    <t>TC-TH-067</t>
  </si>
  <si>
    <t>[Báo cáo &amp; xuất dữ liệu] Kiểm tra xem báo cáo "Báo cáo Lũy kế thu nhập" có đang bị thiếu trong danh sách báo cáo thật (production) hay không.</t>
  </si>
  <si>
    <t>1. Mở màn hình Báo cáo.
2. Rà soát toàn bộ danh sách để tìm báo cáo "Báo cáo Lũy kế thu nhập".</t>
  </si>
  <si>
    <t>Không tìm thấy báo cáo "Báo cáo Lũy kế thu nhập" trong 17 báo cáo đang dùng được — có thể phần này chưa được xây dựng, hoặc đã có nhưng nằm ở màn hình khác chứ không thuộc danh mục báo cáo chuẩn. Yêu cầu ban đầu là hệ thống phải xuất được số liệu thu nhập lũy kế tại bất kỳ thời điểm nào trong năm.</t>
  </si>
  <si>
    <t>TC-TH-068</t>
  </si>
  <si>
    <t>[Báo cáo &amp; xuất dữ liệu] Kiểm tra xem báo cáo "Báo cáo Tổng số nhân sự (Headcount)" có đang bị thiếu trong danh sách báo cáo thật (production) hay không.</t>
  </si>
  <si>
    <t>1. Mở màn hình Báo cáo.
2. Rà soát toàn bộ danh sách để tìm báo cáo "Báo cáo Tổng số nhân sự (Headcount)".</t>
  </si>
  <si>
    <t>Không tìm thấy báo cáo "Báo cáo Tổng số nhân sự (Headcount)" trong 17 báo cáo đang dùng được — có thể phần này chưa được xây dựng, hoặc đã có nhưng nằm ở màn hình khác chứ không thuộc danh mục báo cáo chuẩn. Yêu cầu ban đầu là một báo cáo tổng hợp số lượng nhân sự.</t>
  </si>
  <si>
    <t>TC-TH-069</t>
  </si>
  <si>
    <t>[Báo cáo &amp; xuất dữ liệu] Kiểm tra xem báo cáo "Báo cáo Nhân viên mới/Nghỉ việc" có đang bị thiếu trong danh sách báo cáo thật (production) hay không.</t>
  </si>
  <si>
    <t>1. Mở màn hình Báo cáo.
2. Rà soát toàn bộ danh sách để tìm báo cáo "Báo cáo Nhân viên mới/Nghỉ việc".</t>
  </si>
  <si>
    <t>Không tìm thấy báo cáo "Báo cáo Nhân viên mới/Nghỉ việc" trong 17 báo cáo đang dùng được — có thể phần này chưa được xây dựng, hoặc đã có nhưng nằm ở màn hình khác chứ không thuộc danh mục báo cáo chuẩn. Yêu cầu ban đầu là một báo cáo tổng hợp nhân viên mới vào làm và nhân viên nghỉ việc.</t>
  </si>
  <si>
    <t>TC-TH-070</t>
  </si>
  <si>
    <t>[Báo cáo &amp; xuất dữ liệu] Kiểm tra xem "Dashboard thời gian thực cho Lãnh đạo" có đang bị thiếu trong danh sách báo cáo thật (production) hay không.</t>
  </si>
  <si>
    <t>1. Mở màn hình Báo cáo.
2. Rà soát toàn bộ danh sách để tìm "Dashboard thời gian thực cho Lãnh đạo".</t>
  </si>
  <si>
    <t>Không tìm thấy "Dashboard thời gian thực cho Lãnh đạo" trong 17 báo cáo đang dùng được — có thể phần này chưa được xây dựng, hoặc đã có nhưng nằm ở màn hình khác chứ không thuộc danh mục báo cáo chuẩn. Lưu ý: nội dung này trùng với một điểm thiếu khác đã ghi nhận trước đó — dashboard hiện tại chỉ hiển thị các chỉ số KPI cố định, chưa cập nhật theo thời gian thực.</t>
  </si>
  <si>
    <t>TC-TH-071</t>
  </si>
  <si>
    <t>[Báo cáo &amp; xuất dữ liệu] Kiểm tra xem báo cáo "Báo cáo Theo dõi Kê khai Thuế TNCN hàng tháng" có đang bị thiếu trong danh sách báo cáo thật (production) hay không.</t>
  </si>
  <si>
    <t>1. Mở màn hình Báo cáo.
2. Rà soát toàn bộ danh sách để tìm báo cáo "Báo cáo Theo dõi Kê khai Thuế TNCN hàng tháng".</t>
  </si>
  <si>
    <t>Không tìm thấy báo cáo "Báo cáo Theo dõi Kê khai Thuế TNCN hàng tháng" trong 17 báo cáo đang dùng được — có thể phần này chưa được xây dựng, hoặc đã có nhưng nằm ở màn hình khác chứ không thuộc danh mục báo cáo chuẩn.</t>
  </si>
  <si>
    <t>TC-TH-072</t>
  </si>
  <si>
    <t>[Báo cáo &amp; xuất dữ liệu] Kiểm tra xem báo cáo "Báo cáo Chi tiết Chấm công &amp; Nghỉ phép (Đối soát Workday)" có đang bị thiếu trong danh sách báo cáo thật (production) hay không.</t>
  </si>
  <si>
    <t>1. Mở màn hình Báo cáo.
2. Rà soát toàn bộ danh sách để tìm báo cáo "Báo cáo Chi tiết Chấm công &amp; Nghỉ phép (Đối soát Workday)".</t>
  </si>
  <si>
    <t>Không tìm thấy báo cáo "Báo cáo Chi tiết Chấm công &amp; Nghỉ phép (Đối soát Workday)" trong 17 báo cáo đang dùng được — có thể phần này chưa được xây dựng, hoặc đã có nhưng nằm ở màn hình khác chứ không thuộc danh mục báo cáo chuẩn.</t>
  </si>
  <si>
    <t>TC-TH-073</t>
  </si>
  <si>
    <t>[Báo cáo &amp; xuất dữ liệu] Kiểm tra mẫu file chuyển khoản ngân hàng — đã có định dạng cho ngân hàng trong nước, nhưng CHƯA xác nhận có định dạng cho ngân hàng quốc tế.</t>
  </si>
  <si>
    <t>File mẫu: UP NGAN HANG_TP BANK.xlsx, UP NGAN HANG_KHAC.xlsx</t>
  </si>
  <si>
    <t>1. Mở nhóm "Upload ngân hàng" trong màn hình Báo cáo.
2. Xác nhận đã có 2 mẫu file: một cho TPBank, một cho nhóm ngân hàng khác trong nước.
3. Tìm thêm xem có mẫu file riêng cho ngân hàng quốc tế (như HSBC, Citibank) hay không.</t>
  </si>
  <si>
    <t>Đã có sẵn 2 mẫu file chuyển khoản cho ngân hàng trong nước (TPBank và nhóm ngân hàng khác) — đúng như yêu cầu ban đầu. Tuy nhiên yêu cầu ban đầu còn có thêm mẫu định dạng riêng cho ngân hàng quốc tế (HSBC, Citibank), và phần này CHƯA xác nhận được là danh mục báo cáo thật đã có hay chưa.</t>
  </si>
  <si>
    <t>TC-TH-074</t>
  </si>
  <si>
    <t>[Báo cáo &amp; xuất dữ liệu] Kiểm tra chức năng xuất Phiếu lương — chưa kiểm tra riêng, có thể chức năng này nằm ở một màn hình khác ngoài danh mục báo cáo.</t>
  </si>
  <si>
    <t>File mẫu: Template Payslip.xlsx</t>
  </si>
  <si>
    <t>1. Kiểm tra trong màn hình Báo cáo có mục "Phiếu lương" hay không.
2. Nếu không có, kiểm tra tiếp mục Phiếu lương trong cổng ESS (tự phục vụ nhân viên) — module này đã được xác nhận là có tồn tại ở lần kiểm tra trước — xem đây có đúng là nơi xuất phiếu lương hay không.</t>
  </si>
  <si>
    <t>Chưa kiểm tra riêng ở lần trước — chức năng xuất Phiếu lương không nằm trong danh mục 17 báo cáo chuẩn, nhưng nhiều khả năng nằm ở mục Phiếu lương trong cổng ESS (module này đã xác nhận là có tồn tại).</t>
  </si>
  <si>
    <t>TC-TH-075</t>
  </si>
  <si>
    <t>[Báo cáo &amp; xuất dữ liệu] Làm rõ xem "Báo cáo Escalate thủ công" có nên được tính là một báo cáo trong hệ thống hay chỉ là một quy trình xử lý khác.</t>
  </si>
  <si>
    <t>1. Xác nhận nội dung này không nằm trong danh sách 17 báo cáo.
2. Đối chiếu với ghi chú đã ghi nhận trước đó về việc không nằm trong danh mục là hợp lý.</t>
  </si>
  <si>
    <t>Không có trong danh mục báo cáo — nhưng ghi nhận trước đó cho rằng điều này HỢP LÝ, vì đây có thể chỉ là một thao tác thủ công (như gửi email hoặc xuất tạm thời) chứ không phải một báo cáo chuẩn hoá cần có trong danh mục.</t>
  </si>
  <si>
    <t>TC-TH-076</t>
  </si>
  <si>
    <t>[Báo cáo &amp; xuất dữ liệu] Kiểm tra "Báo cáo Tổng hợp Lương (so sánh thu nhập)" — hiện đang thiếu, và có khả năng trùng với một báo cáo khác đang được kiểm tra.</t>
  </si>
  <si>
    <t>File mẫu: Consolidate Payroll.xlsx</t>
  </si>
  <si>
    <t>1. Mở màn hình Báo cáo, tìm báo cáo so sánh thu nhập theo từng khoản mục (lương cơ bản, phụ cấp trách nhiệm, phụ cấp khác, tăng ca, thưởng) giữa tháng trước và tháng hiện tại, có kèm cột lý do thay đổi.</t>
  </si>
  <si>
    <t>Không có trong danh mục báo cáo hiện tại. Đồng thời, mô tả yêu cầu ban đầu tự ghi nhận rằng báo cáo này có khả năng trùng lặp một phần với báo cáo "So sánh chênh lệch Lương/Công" — cần đội nghiệp vụ xác nhận có nên gộp 2 báo cáo lại thành 1 hay không, trước khi xây dựng cả hai.</t>
  </si>
  <si>
    <t>TC-TH-077</t>
  </si>
  <si>
    <t>[Báo cáo &amp; xuất dữ liệu] Kiểm tra 4 luồng xuất dữ liệu tổng hợp: đẩy Phiếu lương về hệ thống Workday, xuất Bảng lương tổng hợp cho Kế toán, xuất Phân bổ chi phí cho SAP, và tạo file chuyển khoản ngân hàng.</t>
  </si>
  <si>
    <t>Không cần dữ liệu mẫu — đối chiếu với 4 phần đã kiểm tra riêng lẻ trước đó: Bảng lương tổng hợp cho Kế toán, Phân bổ chi phí cho SAP, file chuyển khoản ngân hàng, và Phiếu lương.</t>
  </si>
  <si>
    <t>1. Kiểm tra từng luồng: (1) đẩy Phiếu lương tự động về lại hệ thống Workday — trùng với phần kiểm tra Phiếu lương, chưa kiểm tra riêng. (2) Xuất Bảng lương tổng hợp cho Kế toán — trùng với phần đã kiểm tra trước, KHÔNG có trong danh mục 17 báo cáo. (3) Xuất Phân bổ chi phí cho SAP — trùng với phần đã kiểm tra, CÓ trong danh mục. (4) Tạo file chuyển khoản ngân hàng — trùng với phần đã kiểm tra, CÓ trong danh mục.</t>
  </si>
  <si>
    <t>Yêu cầu ban đầu này thực chất là một yêu cầu "tổng hợp" gộp chung 4 luồng xuất dữ liệu đã được kiểm tra riêng ở các mục khác. Kết quả: 2/4 luồng đã xác nhận CÓ (phân bổ chi phí cho SAP, file chuyển khoản ngân hàng); 1/4 xác nhận CHƯA CÓ (xuất Bảng lương tổng hợp cho Kế toán không nằm trong danh mục 17 báo cáo); 1/4 chưa kiểm tra riêng (đẩy phiếu lương tự động về Workday — khác với việc chỉ xuất file phiếu lương).</t>
  </si>
  <si>
    <t>TC-TH-089</t>
  </si>
  <si>
    <t>[Báo cáo &amp; xuất dữ liệu] Kiểm tra Báo cáo Quyết toán Thuế TNCN cuối năm có phân loại đúng 2 nhóm nhân viên: nhóm còn đang làm việc (được công ty uỷ quyền quyết toán thay) và nhóm đã nghỉ việc giữa năm (phải tự quyết toán).</t>
  </si>
  <si>
    <t>[VÍ DỤ MINH HOẠ] Nhân viên A: làm việc đủ cả năm. Nhân viên B: nghỉ việc vào tháng 6. Nhân viên C: còn đang làm việc nhưng có hợp đồng lao động ở 2 nơi.</t>
  </si>
  <si>
    <t>1. Xuất Báo cáo Quyết toán Thuế TNCN cuối năm.
2. Kiểm tra báo cáo có tách rõ 2 nhóm nhân viên hay không.
3. Với nhóm "đã nghỉ việc", kiểm tra có đủ thông tin để nhân viên tự quyết toán không (tổng thu nhập và tổng thuế đã khấu trừ tính đến ngày nghỉ việc, không phải tính cả năm).</t>
  </si>
  <si>
    <t>Báo cáo phải tách rõ 2 nhóm, với số liệu đúng theo thời gian làm việc thực tế của từng người — nếu tính gộp chung như nhân viên làm đủ năm, Nhân viên B (nghỉ việc giữa năm) sẽ nhận sai số liệu để tự quyết toán thuế với cơ quan thuế. Riêng Nhân viên C (còn đang làm việc NHƯNG có hợp đồng lao động ở 2 nơi) phải được xếp vào nhóm tự quyết toán giống Nhân viên B, KHÔNG được để công ty uỷ quyền quyết toán thay dù chưa nghỉ việc — nếu hệ thống chỉ phân loại theo mỗi tiêu chí "còn làm/đã nghỉ" mà bỏ qua tiêu chí "có 2 nguồn thu nhập", đây là một điểm thiếu cần bổ sung.</t>
  </si>
  <si>
    <t>◆ TinhLuongExcel · sheet "Danh sách cột lương" (sửa công thức/tên cột lương inline)</t>
  </si>
  <si>
    <t>TC-AU-001</t>
  </si>
  <si>
    <t>[Danh sách cột lương] Mở màn hình Danh sách cột lương, kiểm tra bảng danh sách các cột lương hiển thị đầy đủ</t>
  </si>
  <si>
    <t>Không cần chuẩn bị dữ liệu mẫu — dùng đúng dữ liệu thật hệ thống đang có</t>
  </si>
  <si>
    <t>1. Vào màn hình Payroll → chọn menu "Cấu hình" → chọn "Danh sách cột lương"</t>
  </si>
  <si>
    <t>Bảng danh sách hiển thị được, có ít nhất 1 dòng, mỗi dòng đều đủ 3 thông tin: Mã, Tên và Công thức của cột lương.</t>
  </si>
  <si>
    <t>TC-AU-002</t>
  </si>
  <si>
    <t>[Danh sách cột lương] Nhấp đúp vào ô Công thức để mở chế độ sửa ngay tại chỗ</t>
  </si>
  <si>
    <t>1 dòng bất kỳ trong bảng danh sách</t>
  </si>
  <si>
    <t>1. Nhấp đúp (double-click) vào ô Công thức của một dòng bất kỳ</t>
  </si>
  <si>
    <t>Ô sửa hiện ra ngay tại vị trí đó, nội dung bên trong đúng bằng công thức đang hiển thị trước đó, chưa bị thay đổi gì.</t>
  </si>
  <si>
    <t>TC-AU-003</t>
  </si>
  <si>
    <t>[Danh sách cột lương] Nhấn phím Esc khi đang sửa công thức sẽ huỷ thao tác, không hiện hộp xác nhận</t>
  </si>
  <si>
    <t>Gõ thêm vài ký tự bất kỳ</t>
  </si>
  <si>
    <t>1. Gõ đổi thêm vài ký tự bất kỳ vào ô đang sửa
2. Nhấn phím Esc</t>
  </si>
  <si>
    <t>Ô sửa đóng lại ngay, KHÔNG xuất hiện hộp thoại "Xác nhận đổi công thức", và công thức vẫn giữ nguyên giá trị ban đầu.</t>
  </si>
  <si>
    <t>TC-AU-004</t>
  </si>
  <si>
    <t>[Danh sách cột lương] Sửa công thức khác với giá trị gốc rồi nhấn Enter sẽ mở hộp thoại xác nhận đúng công thức mới</t>
  </si>
  <si>
    <t>Công thức thử nghiệm cố định: [Lương chính thức (100%)] * 1 [VÍ DỤ MINH HOẠ]</t>
  </si>
  <si>
    <t>1. Xoá nội dung cũ trong ô đang sửa
2. Gõ vào một công thức mới (khác với công thức gốc)
3. Nhấn Enter</t>
  </si>
  <si>
    <t>Hộp thoại "Cập nhật công thức" mở ra, hiển thị đúng công thức mới vừa gõ để xác nhận. Nút "Cập nhật" phải ở trạng thái mờ, chưa bấm được, cho tới khi người dùng vừa bấm "Kiểm tra công thức" để xác nhận công thức hợp lệ, vừa nhập đầy đủ "Lý do sửa" — đúng theo yêu cầu bắt buộc phải nêu lý do khi chỉnh sửa.</t>
  </si>
  <si>
    <t>TC-AU-005</t>
  </si>
  <si>
    <t>[Danh sách cột lương] Bấm nút Huỷ trên hộp thoại xác nhận công thức sẽ đóng hộp thoại và không lưu thay đổi</t>
  </si>
  <si>
    <t>1. Bấm nút "Huỷ" (Cancel) trên hộp thoại</t>
  </si>
  <si>
    <t>Hộp thoại đóng lại, ô Công thức trên bảng danh sách trở về đúng giá trị ban đầu (hệ thống không lưu thay đổi nào).</t>
  </si>
  <si>
    <t>TC-AU-006</t>
  </si>
  <si>
    <t>[Danh sách cột lương] Nhấp đúp vào ô Tên cột lương để mở chế độ sửa ngay tại chỗ</t>
  </si>
  <si>
    <t>1. Nhấp đúp (double-click) vào ô Tên của một dòng bất kỳ</t>
  </si>
  <si>
    <t>Ô sửa hiện ra ngay tại vị trí đó, nội dung bên trong đúng bằng tên đang hiển thị trước đó, chưa bị thay đổi gì.</t>
  </si>
  <si>
    <t>TC-AU-007</t>
  </si>
  <si>
    <t>[Danh sách cột lương] Sửa tên cột lương khác với giá trị gốc rồi nhấn Enter sẽ mở hộp thoại xác nhận đúng tên mới</t>
  </si>
  <si>
    <t>Tên thử nghiệm cố định, có thêm hậu tố " (test)" [VÍ DỤ MINH HOẠ]</t>
  </si>
  <si>
    <t>1. Xoá nội dung cũ trong ô đang sửa
2. Gõ vào tên mới
3. Nhấn Enter</t>
  </si>
  <si>
    <t>Hộp thoại "Cập nhật tên cột" mở ra, hiển thị đúng tên mới vừa gõ để xác nhận. Nút "Cập nhật" phải ở trạng thái mờ, chưa bấm được, cho tới khi nhập đầy đủ "Lý do sửa" — đúng theo yêu cầu bắt buộc phải nêu lý do khi chỉnh sửa.</t>
  </si>
  <si>
    <t>TC-AU-008</t>
  </si>
  <si>
    <t>[Danh sách cột lương] Nhấn phím Esc khi đang sửa tên cột lương sẽ huỷ thao tác, không hiện hộp xác nhận</t>
  </si>
  <si>
    <t>Ô sửa đóng lại ngay, KHÔNG xuất hiện hộp thoại "Cập nhật tên cột".</t>
  </si>
  <si>
    <t>TC-AU-009</t>
  </si>
  <si>
    <t>[Danh sách cột lương] Tài khoản không có quyền chỉnh sửa (ví dụ tài khoản nhân viên thường) sẽ bị chặn khi cố sửa công thức</t>
  </si>
  <si>
    <t>1. Mở màn hình Danh sách cột lương (nếu tài khoản này vào được)
2. Nhấp đúp vào ô Công thức của một dòng bất kỳ</t>
  </si>
  <si>
    <t>Hệ thống hiện thông báo "Bạn không có quyền sửa công thức cột lương...", KHÔNG cho mở ô sửa.</t>
  </si>
  <si>
    <t>TC-AU-010</t>
  </si>
  <si>
    <t>[Danh sách cột lương] Khi đang sửa công thức, chọn một mã gợi ý từ bảng tra cứu sẽ chèn đúng vào vị trí con trỏ đang đứng</t>
  </si>
  <si>
    <t>1. Đặt con trỏ vào giữa công thức đang sửa
2. Bấm chọn một mã trong bảng gợi ý</t>
  </si>
  <si>
    <t>Mã được chọn chèn đúng vào vị trí con trỏ đang đứng trong công thức, không bị nối bừa vào cuối chuỗi.</t>
  </si>
  <si>
    <t>◆ TinhLuongExcel · sheet "Danh sách cột lương" (sửa công thức/tên cột lương inline) — Audit Log</t>
  </si>
  <si>
    <t>TC-AU-011</t>
  </si>
  <si>
    <t>[Danh sách cột lương] Sau khi sửa công thức, nhập Lý do sửa và bấm Cập nhật thành công, Nhật ký kiểm tra phải ghi lại đầy đủ giá trị cũ, giá trị mới, người thực hiện, thời gian và lý do</t>
  </si>
  <si>
    <t>Công thức gốc: [Lương chính thức (100%)] * 1 → sửa thành [Lương chính thức (100%)] * 1.1; Lý do sửa: "QA test audit log" [VÍ DỤ MINH HOẠ]</t>
  </si>
  <si>
    <t>1. Sửa Công thức của một cột lương (như cách sửa ở các bước trên)
2. Nhập Lý do sửa
3. Bấm "Cập nhật"
4. Mở màn hình hoặc tra cứu Nhật ký kiểm tra (Audit Log), tìm bản ghi vừa tạo</t>
  </si>
  <si>
    <t>Xuất hiện đúng 1 bản ghi nhật ký mới, ghi đầy đủ: Giá trị cũ = công thức gốc, Giá trị mới = công thức vừa sửa, Người thực hiện = đúng người đang đăng nhập (hr_admin), Thời gian ≈ đúng thời điểm bấm Cập nhật, Lý do = đúng nội dung đã nhập ("QA test audit log").</t>
  </si>
  <si>
    <t>TC-AU-012</t>
  </si>
  <si>
    <t>[Danh sách cột lương] Sau khi sửa tên cột lương, nhập Lý do sửa và bấm Cập nhật thành công, Nhật ký kiểm tra phải ghi lại đầy đủ giá trị cũ, giá trị mới, người thực hiện, thời gian và lý do</t>
  </si>
  <si>
    <t>Tên gốc → tên mới có thêm hậu tố " (test)"; Lý do sửa: "QA test audit log tên cột" [VÍ DỤ MINH HOẠ]</t>
  </si>
  <si>
    <t>1. Sửa Tên của một cột lương (như cách sửa ở các bước trên)
2. Nhập Lý do sửa
3. Bấm "Cập nhật"
4. Mở màn hình hoặc tra cứu Nhật ký kiểm tra, tìm bản ghi vừa tạo</t>
  </si>
  <si>
    <t>Xuất hiện đúng 1 bản ghi nhật ký mới, ghi đầy đủ: Giá trị cũ = tên gốc, Giá trị mới = tên vừa sửa, Người thực hiện = đúng người đang đăng nhập (hr_admin), Thời gian ≈ đúng thời điểm bấm Cập nhật, Lý do = đúng nội dung đã nhập.</t>
  </si>
  <si>
    <t>◆ 01 · Đồng bộ dữ liệu (Workday/SAP)</t>
  </si>
  <si>
    <t>TC-PF-001</t>
  </si>
  <si>
    <t>[Đồng bộ Workday] Kiểm tra việc đồng bộ dữ liệu hàng ngày với hệ thống Workday có hoàn tất trong thời gian chấp nhận được không, khi chạy với toàn bộ số lượng nhân viên thật</t>
  </si>
  <si>
    <t>Dữ liệu chấm công và thông tin nhân sự của 1 ngày, cho toàn bộ nhân viên đang làm việc</t>
  </si>
  <si>
    <t>1. Bắt đầu đồng bộ dữ liệu (tự động theo lịch hoặc bấm nút đồng bộ thủ công)
2. Đo thời gian từ lúc bắt đầu đến khi đồng bộ xong
3. Kiểm tra dữ liệu đã hiển thị đúng trên hệ thống Payroll</t>
  </si>
  <si>
    <t>Việc đồng bộ hoàn tất trong thời gian hợp lý, không làm gián đoạn các thao tác khác đang thực hiện cùng lúc trên hệ thống; thời gian đo được sẽ dùng làm mốc tham chiếu vì hiện chưa có ngưỡng thời gian chính thức được quy định.</t>
  </si>
  <si>
    <t>Performance</t>
  </si>
  <si>
    <t>TC-PF-002</t>
  </si>
  <si>
    <t>[Đồng bộ Workday] Kiểm tra hệ thống xử lý thế nào khi kết nối với Workday bị chậm hoặc mất kết nối trong lúc đồng bộ: có tự thử lại 3 lần, giữ nguyên dữ liệu cũ và báo cho Quản trị viên hay không</t>
  </si>
  <si>
    <t>Một lần đồng bộ trong đó hệ thống Workday được giả lập phản hồi chậm/mất kết nối vượt quá thời gian chờ cho phép</t>
  </si>
  <si>
    <t>1. Giả lập tình huống hệ thống Workday phản hồi chậm/mất kết nối trong lúc đang đồng bộ
2. Quan sát xem hệ thống có tự thử lại và thử đúng 3 lần không
3. Kiểm tra dữ liệu cũ có được giữ nguyên không (không bị xóa hay ghi đè dở dang)
4. Kiểm tra có cảnh báo gửi tới Quản trị viên không
5. Kiểm tra có bản ghi lưu lại trong Nhật ký kiểm tra (Audit Log) không</t>
  </si>
  <si>
    <t>Hệ thống tự thử lại đúng 3 lần, dữ liệu cũ được giữ nguyên (không bị xóa hoặc ghi đè dở dang), có gửi cảnh báo tới Quản trị viên, và có ghi lại trong Nhật ký kiểm tra.</t>
  </si>
  <si>
    <t>Negative / Performance</t>
  </si>
  <si>
    <t>TC-PF-003</t>
  </si>
  <si>
    <t>[Đồng bộ SAP] Kiểm tra thời gian xử lý file phân bổ chi phí từ SAP khi có nhiều nhân viên làm việc kiêm nhiệm ở nhiều dự án</t>
  </si>
  <si>
    <t>File phân bổ chi phí giả lập số dòng lớn</t>
  </si>
  <si>
    <t>1. Nhập/nhận file phân bổ chi phí từ SAP với số lượng dòng lớn
2. Đo thời gian xử lý file
3. Kiểm tra chi phí phân bổ có được tính đúng không</t>
  </si>
  <si>
    <t>Việc xử lý hoàn tất trong thời gian hợp lý, không bị lỗi do quá thời gian chờ; tuy nhiên case này tạm dừng (chờ xác nhận) một phần vì cấu trúc cột của file chưa được chốt chính thức.</t>
  </si>
  <si>
    <t>◆ 02 · Payroll Engine &amp; Đa pháp nhân</t>
  </si>
  <si>
    <t>TC-PF-004</t>
  </si>
  <si>
    <t>[Tính lương] Kiểm tra thời gian chạy tính lương cho toàn bộ nhân viên của 1 công ty trong 1 kỳ lương</t>
  </si>
  <si>
    <t>Toàn bộ nhân viên đang làm việc của 1 công ty, 1 kỳ lương đầy đủ dữ liệu</t>
  </si>
  <si>
    <t>1. Bấm nút "Chạy tính lương" cho toàn bộ công ty
2. Đo thời gian từ lúc bắt đầu đến khi có kết quả đầy đủ
3. Đối chiếu kết quả với khi chạy từng phần nhỏ để đảm bảo không có sai lệch</t>
  </si>
  <si>
    <t>Tính lương hoàn tất, kết quả chính xác; thời gian đo được sẽ dùng làm mốc tham chiếu vì hiện chưa có ngưỡng thời gian chính thức được quy định.</t>
  </si>
  <si>
    <t>TC-PF-005</t>
  </si>
  <si>
    <t>[Tính lương] Kiểm tra khi chạy tính lương cùng lúc cho nhiều công ty (pháp nhân) khác nhau, dữ liệu có bị lẫn hoặc chạy chậm bất thường không</t>
  </si>
  <si>
    <t>Dữ liệu 3 công ty trở lên, cùng kỳ lương</t>
  </si>
  <si>
    <t>1. Bấm chạy tính lương cùng lúc cho từ 3 công ty trở lên
2. Theo dõi thời gian hoàn tất của từng công ty
3. Kiểm tra dữ liệu của công ty này có bị lẫn sang công ty khác không</t>
  </si>
  <si>
    <t>Mỗi công ty tính lương đúng, không có tình trạng dữ liệu công ty này lẫn sang công ty khác, và thời gian hoàn tất không tăng đột biến so với khi chạy riêng lẻ từng công ty.</t>
  </si>
  <si>
    <t>TC-PF-009</t>
  </si>
  <si>
    <t>[Màn hình Sửa công thức] Kiểm tra thời gian tải và hiển thị đầy đủ toàn bộ 128 dòng công thức tính lương trên màn hình "Danh sách cột lương"</t>
  </si>
  <si>
    <t>Toàn bộ 128 dòng công thức</t>
  </si>
  <si>
    <t>1. Mở màn hình /payroll
2. Vào menu "Cấu hình" → chọn "Danh sách cột lương"
3. Đo thời gian màn hình hiển thị đầy đủ 128 dòng công thức</t>
  </si>
  <si>
    <t>Màn hình hiển thị đầy đủ 128 dòng trong thời gian hợp lý (người dùng thao tác bình thường không cảm thấy bị chậm rõ rệt).</t>
  </si>
  <si>
    <t>TC-PF-010</t>
  </si>
  <si>
    <t>[Màn hình Sửa công thức] Kiểm tra thời gian hệ thống tính lại các công thức liên quan khi sửa 1 công thức có nhiều công thức khác phụ thuộc vào nó (chuỗi công thức liên kết dài)</t>
  </si>
  <si>
    <t>Công thức của 1 chỉ tiêu có từ 10 chỉ tiêu khác phụ thuộc trực tiếp/gián tiếp trở lên</t>
  </si>
  <si>
    <t>1. Sửa công thức của chỉ tiêu gốc
2. Xác nhận lý do sửa
3. Đo thời gian để toàn bộ các chỉ tiêu phụ thuộc được tính lại và cập nhật trên màn hình</t>
  </si>
  <si>
    <t>Toàn bộ các chỉ tiêu phụ thuộc được tính lại chính xác và trong thời gian hợp lý, không có chỉ tiêu nào bị bỏ sót hoặc không được tính lại.</t>
  </si>
  <si>
    <t>◆ 03 · Quy trình phê duyệt</t>
  </si>
  <si>
    <t>TC-PF-006</t>
  </si>
  <si>
    <t>[Phê duyệt lương] Kiểm tra khi có nhiều người duyệt (ví dụ Trưởng bộ phận C&amp;B, cấp lãnh đạo cao hơn) cùng thao tác duyệt lương một lúc trên các bảng lương/phòng ban khác nhau, dữ liệu có bị sai lệch không</t>
  </si>
  <si>
    <t>Từ 5 bảng lương trở lên, thuộc các phòng ban khác nhau, đang ở trạng thái chờ duyệt cùng lúc</t>
  </si>
  <si>
    <t>1. [VÍ DỤ MINH HOẠ] Nhiều tài khoản duyệt (ví dụ: chị Nguyễn Thị B - Trưởng bộ phận C&amp;B phòng Kế toán, anh Trần Văn C - Trưởng bộ phận C&amp;B phòng Nhân sự) cùng lúc thao tác Duyệt/Từ chối trên các bảng lương khác nhau
2. Kiểm tra riêng trường hợp 2 người cùng duyệt 1 bảng lương tại cùng một thời điểm, xem trạng thái có bị ghi đè sai không</t>
  </si>
  <si>
    <t>Mỗi thao tác duyệt được ghi nhận đúng, không bị mất hoặc ghi đè sai dữ liệu khi nhiều người cùng thao tác trên các bảng lương khác nhau cùng lúc.</t>
  </si>
  <si>
    <t>TC-PF-007</t>
  </si>
  <si>
    <t>[Phê duyệt lương] Kiểm tra thời gian tải danh sách chờ duyệt khi có nhiều kỳ lương/nhiều phòng ban còn tồn đọng cùng lúc</t>
  </si>
  <si>
    <t>Danh sách chờ duyệt với số lượng bản ghi lớn (nhiều kỳ lương, nhiều phòng ban)</t>
  </si>
  <si>
    <t>1. Mở màn hình danh sách chờ duyệt khi đang có khối lượng hồ sơ tồn đọng lớn
2. Đo thời gian tải danh sách
3. Thử lọc và sắp xếp danh sách, kiểm tra màn hình có bị đứng/khựng không</t>
  </si>
  <si>
    <t>Danh sách tải xong trong thời gian hợp lý, thao tác lọc/sắp xếp không làm màn hình bị đứng.</t>
  </si>
  <si>
    <t>TC-PF-020</t>
  </si>
  <si>
    <t>[Toàn hệ thống] Kiểm tra hệ thống có hoạt động ổn định không vào thời điểm cao điểm cuối kỳ lương, khi nhiều Nhân viên C&amp;B nhập liệu, Trưởng bộ phận duyệt và HR xuất báo cáo cùng một lúc</t>
  </si>
  <si>
    <t>Kịch bản giả lập nhiều vai trò thao tác đồng thời</t>
  </si>
  <si>
    <t>1. Mô phỏng nhiều người dùng (Nhân viên C&amp;B, Trưởng bộ phận, HR) cùng thao tác trong khung giờ cao điểm (nhập liệu, duyệt, xuất báo cáo)
2. Theo dõi thời gian phản hồi của hệ thống
3. Kiểm tra có lỗi hoặc bị treo/quá thời gian chờ không
4. Kiểm tra dữ liệu có chính xác sau khi tải cao không</t>
  </si>
  <si>
    <t>Hệ thống không bị lỗi hoặc treo, thời gian phản hồi trong mức chấp nhận được, dữ liệu không bị sai lệch dù nhiều người dùng cùng thao tác; đây là trường hợp bắt buộc kiểm tra và ở mức nghiêm trọng cao nhất vì ảnh hưởng trực tiếp đến hạn chốt lương ngày 25 hàng tháng.</t>
  </si>
  <si>
    <t>Performance / Load</t>
  </si>
  <si>
    <t>◆ 04 · Import BHXH &amp; Audit Log</t>
  </si>
  <si>
    <t>TC-PF-008</t>
  </si>
  <si>
    <t>[Nhập liệu BHXH] Kiểm tra việc nhập file Excel số lượng lớn (nhiều nghìn dòng) để truy thu/thoái thu BHXH — thời gian xử lý và kiểm tra dữ liệu</t>
  </si>
  <si>
    <t>File Excel giả lập nhiều nghìn dòng điều chỉnh BHXH</t>
  </si>
  <si>
    <t>1. Nhập file Excel số lượng lớn vào hệ thống
2. Đo thời gian xử lý
3. Kiểm tra hệ thống có phát hiện đúng các dòng bị lỗi không
4. Kiểm tra tiền lãi nộp chậm có được tính đúng không</t>
  </si>
  <si>
    <t>Việc nhập file hoàn tất trong thời gian hợp lý, phát hiện đúng các dòng lỗi, hệ thống không bị treo dù file lớn; case này tạm dừng một phần vì mẫu file chính thức chưa được chốt.</t>
  </si>
  <si>
    <t>TC-PF-011</t>
  </si>
  <si>
    <t>[Nhật ký kiểm tra] Kiểm tra thời gian tra cứu/hiển thị Nhật ký kiểm tra sau nhiều tháng hệ thống vận hành (khi khối lượng nhật ký đã lớn)</t>
  </si>
  <si>
    <t>Bộ nhật ký lớn (giả lập)</t>
  </si>
  <si>
    <t>1. Mở màn hình Xem Nhật ký kiểm tra
2. Lọc theo một khoảng thời gian dài
3. Đo thời gian tra cứu và hiển thị kết quả</t>
  </si>
  <si>
    <t>Việc tra cứu/hiển thị hoàn tất trong thời gian hợp lý dù khối lượng nhật ký lớn, có phân trang hoặc tải dần hợp lý (không tải toàn bộ cùng lúc).</t>
  </si>
  <si>
    <t>◆ 05 · Báo cáo &amp; Dashboard</t>
  </si>
  <si>
    <t>TC-PF-012</t>
  </si>
  <si>
    <t>[Báo cáo] Kiểm tra thời gian tạo Báo cáo Lũy kế thu nhập cho nhiều kỳ lương/toàn bộ nhân viên</t>
  </si>
  <si>
    <t>12 kỳ lương × toàn bộ nhân viên</t>
  </si>
  <si>
    <t>1. Tạo báo cáo lũy kế thu nhập cho toàn bộ nhân viên qua nhiều kỳ lương
2. Đo thời gian tạo báo cáo</t>
  </si>
  <si>
    <t>Việc tạo báo cáo hoàn tất trong thời gian hợp lý; case này tạm dừng một phần vì cấu trúc báo cáo chưa được xác nhận chính thức.</t>
  </si>
  <si>
    <t>TC-PF-013</t>
  </si>
  <si>
    <t>[Báo cáo] Kiểm tra thời gian tạo và xuất Báo cáo Tổng hợp Lương so sánh nhiều tháng cho toàn bộ nhân viên</t>
  </si>
  <si>
    <t>Dữ liệu tháng trước + tháng hiện tại, toàn bộ nhân viên</t>
  </si>
  <si>
    <t>1. Tạo báo cáo so sánh thu nhập cho toàn bộ nhân viên
2. Xuất file báo cáo
3. Đo thời gian tạo và xuất file</t>
  </si>
  <si>
    <t>Việc tạo và xuất báo cáo hoàn tất trong thời gian hợp lý dù dữ liệu toàn công ty.</t>
  </si>
  <si>
    <t>TC-PF-014</t>
  </si>
  <si>
    <t>[Dashboard] Kiểm tra Dashboard thời gian thực dành cho lãnh đạo có cập nhật kịp thời không khi có hồ sơ mới bị "treo"/chậm duyệt</t>
  </si>
  <si>
    <t>Hồ sơ chuyển trạng thái "treo"/chậm duyệt trong lúc theo dõi Dashboard</t>
  </si>
  <si>
    <t>1. Mở màn hình Dashboard
2. Ở một nơi khác, tạo hoặc chuyển 1 hồ sơ sang trạng thái chậm duyệt
3. Đo thời gian để Dashboard phản ánh đúng thay đổi này</t>
  </si>
  <si>
    <t>Dashboard cập nhật trong thời gian ngắn hợp lý để đúng nghĩa "thời gian thực", không cần người dùng phải bấm làm mới (refresh) quá thường xuyên.</t>
  </si>
  <si>
    <t>TC-PF-015</t>
  </si>
  <si>
    <t>[Hạch toán GL] Kiểm tra thời gian trích xuất dữ liệu hạch toán GL cho toàn bộ nhân viên trong 1 kỳ lương</t>
  </si>
  <si>
    <t>Kết quả lương toàn bộ nhân viên 1 kỳ</t>
  </si>
  <si>
    <t>1. Trích xuất dữ liệu hạch toán GL cho toàn bộ nhân viên
2. Đo thời gian trích xuất</t>
  </si>
  <si>
    <t>Việc trích xuất hoàn tất trong thời gian hợp lý; case này tạm dừng một phần vì danh mục mã GL đầy đủ chưa được xác nhận chính thức.</t>
  </si>
  <si>
    <t>TC-PF-016</t>
  </si>
  <si>
    <t>[Đối soát Workday] Kiểm tra thời gian tạo Báo cáo Chi tiết Chấm công &amp; Nghỉ phép cho toàn bộ nhân viên</t>
  </si>
  <si>
    <t>Toàn bộ nhân viên, 1 kỳ chấm công</t>
  </si>
  <si>
    <t>1. Tạo báo cáo đối soát Workday cho toàn bộ nhân viên
2. Đo thời gian tạo báo cáo</t>
  </si>
  <si>
    <t>Việc tạo báo cáo hoàn tất trong thời gian hợp lý, dữ liệu đầy đủ ở cả 2 phần (Nghỉ phép và Chấm công).</t>
  </si>
  <si>
    <t>◆ 06 · Xuất dữ liệu Ngân hàng</t>
  </si>
  <si>
    <t>TC-PF-017</t>
  </si>
  <si>
    <t>[Xuất dữ liệu ngân hàng] Kiểm tra việc tạo và tự động chia nhỏ file chuyển khoản TPBank khi vượt quá 5.000 giao dịch trong 1 lần xuất</t>
  </si>
  <si>
    <t>Trên 5.000 bản ghi chuyển khoản TPBank</t>
  </si>
  <si>
    <t>1. Xuất file chuyển khoản TPBank với số giao dịch vượt quá 5.000
2. Đo thời gian tạo file
3. Kiểm tra hệ thống có tự động chia thành nhiều file/đợt theo đúng giới hạn hay báo lỗi rõ ràng</t>
  </si>
  <si>
    <t>Hệ thống xử lý đúng (tự động chia thành nhiều file hoặc báo rõ đã vượt giới hạn), không tạo ra file có quá 5.000 dòng, và không bị lỗi/đứng khi khối lượng lớn.</t>
  </si>
  <si>
    <t>Performance / Positive</t>
  </si>
  <si>
    <t>TC-PF-018</t>
  </si>
  <si>
    <t>[Xuất dữ liệu ngân hàng] Kiểm tra việc tạo và tự động chia nhỏ file chuyển khoản sang các Ngân hàng khác khi vượt quá 1.000 giao dịch trong 1 lần xuất</t>
  </si>
  <si>
    <t>Trên 1.000 bản ghi chuyển khoản, nhiều ngân hàng trong danh mục 86 ngân hàng</t>
  </si>
  <si>
    <t>1. Xuất file chuyển khoản sang ngân hàng khác với số giao dịch vượt quá 1.000
2. Kiểm tra hệ thống có chia file đúng giới hạn không
3. Kiểm tra mã Citad có được tra đúng cho từng dòng, với từng ngân hàng trong danh mục 86 ngân hàng không</t>
  </si>
  <si>
    <t>Hệ thống xử lý đúng giới hạn 1.000 giao dịch/file, mã Citad tra đúng cho tất cả các ngân hàng trong danh mục, không bị lỗi khi khối lượng lớn.</t>
  </si>
  <si>
    <t>◆ 07 · Thông báo (Teams Bot)</t>
  </si>
  <si>
    <t>TC-PF-019</t>
  </si>
  <si>
    <t>[Thông báo qua Teams] Kiểm tra việc gửi nhắc duyệt hàng loạt tới nhiều quản lý cùng lúc có bị chậm hoặc thiếu sót không</t>
  </si>
  <si>
    <t>Từ 20 quản lý trở lên có hồ sơ chờ duyệt cùng ngày</t>
  </si>
  <si>
    <t>1. Kích hoạt gửi nhắc duyệt hàng loạt (theo lịch 1 lần/ngày)
2. Xác nhận tất cả quản lý liên quan có nhận được tin nhắn Teams đúng nội dung, đúng người, trong thời gian hợp lý không</t>
  </si>
  <si>
    <t>Tất cả tin nhắn được gửi đúng người, không bị thiếu hoặc trễ bất thường.</t>
  </si>
  <si>
    <t>Test Data Preparation</t>
  </si>
  <si>
    <t>◆ 01 · Xác thực &amp; SSO</t>
  </si>
  <si>
    <t>TC-SEC-001</t>
  </si>
  <si>
    <t>[SSO] Kiểm tra đăng nhập bằng tài khoản email công ty (Azure AD) hợp lệ có vào được hệ thống Payroll hay không (trường hợp chuẩn)</t>
  </si>
  <si>
    <t>Chuẩn bị 1 tài khoản email công ty (Office 365) đang hoạt động bình thường.
[Trạng thái chuẩn bị: Chuẩn]</t>
  </si>
  <si>
    <t>1 tài khoản email công ty (Azure AD) hợp lệ</t>
  </si>
  <si>
    <t>1. Truy cập vào hệ thống Payroll
2. Đăng nhập bằng tài khoản email công ty (Azure AD SSO)</t>
  </si>
  <si>
    <t>Đăng nhập thành công, hệ thống đưa vào đúng trang chủ tương ứng với vai trò của người dùng</t>
  </si>
  <si>
    <t>TC-SEC-002</t>
  </si>
  <si>
    <t>[SSO] Kiểm tra khi tài khoản email công ty bị khoá giữa lúc đang làm việc trên Payroll — phiên làm việc có bị ngắt ngay lập tức hay không</t>
  </si>
  <si>
    <t>Chuẩn bị 1 tài khoản test có thể khoá được trên hệ thống email công ty trong lúc đang đăng nhập Payroll.
[Trạng thái chuẩn bị: Cần làm rõ với bộ phận IT/Bảo mật — trường hợp này có thể tạm dừng nếu chưa có câu trả lời chính thức]</t>
  </si>
  <si>
    <t>1 tài khoản test bị khoá giữa lúc đang sử dụng</t>
  </si>
  <si>
    <t>1. Đăng nhập vào Payroll, giữ nguyên phiên làm việc
2. Khoá tài khoản đó trên hệ thống email công ty (Azure AD)
3. Tiếp tục thao tác trên Payroll và quan sát hệ thống phản ứng thế nào</t>
  </si>
  <si>
    <t>(Cần bộ phận Nghiệp vụ/Bảo mật xác nhận kết quả mong đợi: ngắt phiên ngay hay chờ đến khi phiên hết hạn tự nhiên) — ghi nhận hành vi thực tế của hệ thống rồi đối chiếu với chính sách bảo mật công ty</t>
  </si>
  <si>
    <t>TC-SEC-003</t>
  </si>
  <si>
    <t>[SSO] Thử truy cập trực tiếp vào các trang/chức năng nội bộ của Payroll khi chưa đăng nhập (thử "lách" qua bước đăng nhập)</t>
  </si>
  <si>
    <t>Không có phiên đăng nhập nào (dùng trình duyệt ẩn danh hoặc xoá hết dữ liệu đăng nhập cũ).
[Trạng thái chuẩn bị: Chuẩn]</t>
  </si>
  <si>
    <t>Đường dẫn (URL) trực tiếp vào các trang nội bộ của Payroll (ví dụ trang quản trị) và các điểm kết nối dữ liệu phía sau</t>
  </si>
  <si>
    <t>1. Không đăng nhập vào hệ thống
2. Truy cập trực tiếp vào các trang nội bộ của Payroll bằng đường dẫn (URL)
3. Dùng công cụ kỹ thuật gọi thẳng vào điểm kết nối dữ liệu phía sau mà không có thông tin đăng nhập hợp lệ</t>
  </si>
  <si>
    <t>Hệ thống tự động chuyển về trang đăng nhập và từ chối truy cập trên giao diện; khi gọi thẳng vào phía sau hệ thống cũng bị từ chối, hiển thị thông báo không có quyền truy cập, không có dữ liệu nào bị lộ ra ngoài</t>
  </si>
  <si>
    <t>TC-SEC-004</t>
  </si>
  <si>
    <t>[SSO] Khi phiên đăng nhập Payroll đã hết hạn, người dùng thao tác tiếp theo có bị chặn và yêu cầu đăng nhập lại hay không</t>
  </si>
  <si>
    <t>Chuẩn bị 1 tài khoản test, có thể chờ hoặc giả lập cho phiên đăng nhập hết hạn.
[Trạng thái chuẩn bị: Cần chuẩn bị — cần biết trước thời gian hết hạn phiên đăng nhập thực tế đã cấu hình]</t>
  </si>
  <si>
    <t>1 phiên đăng nhập để tự hết hạn hoặc được làm cho hết hạn giả lập</t>
  </si>
  <si>
    <t>1. Đăng nhập vào Payroll
2. Để phiên đăng nhập hết hạn (hoặc dùng công cụ test để xoá phiên phía hệ thống nếu có)
3. Thực hiện tiếp một thao tác bất kỳ trên Payroll</t>
  </si>
  <si>
    <t>Hệ thống chặn thao tác và yêu cầu đăng nhập lại, không cho phép thực hiện bất kỳ hành động nào với phiên đăng nhập đã hết hạn</t>
  </si>
  <si>
    <t>TC-SEC-023</t>
  </si>
  <si>
    <t>[Đăng nhập] Kiểm tra hệ thống có tạm khoá tài khoản hoặc chặn khi có nhiều lần đăng nhập sai liên tiếp (chống dò mật khẩu) hay không</t>
  </si>
  <si>
    <t>Chuẩn bị 1 tài khoản test, thực hiện trong môi trường không ảnh hưởng đến tài khoản thật của người khác.
[Trạng thái chuẩn bị: Cần làm rõ phạm vi kiểm tra (ở Payroll hay ở hệ thống email công ty) trước khi thực hiện]</t>
  </si>
  <si>
    <t>Nhiều lần thử đăng nhập sai liên tiếp</t>
  </si>
  <si>
    <t>1. Thử đăng nhập sai mật khẩu nhiều lần liên tiếp trong thời gian ngắn
2. Quan sát xem tài khoản có bị tạm khoá hoặc yêu cầu xác minh thêm (như mã capcha) hay không</t>
  </si>
  <si>
    <t>(Tuỳ thuộc phạm vi kiểm tra — nếu cơ chế này do hệ thống email công ty quản lý thì chỉ cần xác nhận chính sách của công ty đã được bật, không cần xây dựng riêng trong Payroll)</t>
  </si>
  <si>
    <t>Negative / Security</t>
  </si>
  <si>
    <t>◆ 02 · Phân quyền theo vai trò (RBAC)</t>
  </si>
  <si>
    <t>TC-SEC-005</t>
  </si>
  <si>
    <t>[Phân quyền] Kiểm tra nhân viên có quyền thấp (C&amp;B Staff) có thể lách qua giao diện để thực hiện trực tiếp các thao tác chỉ dành cho vai trò cao hơn (như Khoá kỳ lương, Duyệt cuối) hay không</t>
  </si>
  <si>
    <t>Chuẩn bị 1 tài khoản vai trò C&amp;B Staff (quyền thấp) và biết trước cách gọi trực tiếp các thao tác Khoá/Mở khoá kỳ lương, Duyệt cuối.
[Trạng thái chuẩn bị: Cần chuẩn bị]</t>
  </si>
  <si>
    <t>Thông tin đăng nhập của tài khoản vai trò C&amp;B Staff</t>
  </si>
  <si>
    <t>1. Đăng nhập bằng tài khoản vai trò C&amp;B Staff
2. Dùng công cụ kỹ thuật để gọi trực tiếp thao tác Khoá kỳ lương / Duyệt cuối (không thông qua giao diện, vì giao diện có thể đã ẩn nút bấm với vai trò này)</t>
  </si>
  <si>
    <t>Hệ thống từ chối, hiển thị thông báo không có quyền thực hiện, không cho thao tác được thực hiện; nếu sau này có bảng phân quyền chính thức xác nhận vai trò này ĐƯỢC quyền làm việc đó thì kết quả mong đợi cần điều chỉnh lại theo bảng phân quyền đó</t>
  </si>
  <si>
    <t>TC-SEC-006</t>
  </si>
  <si>
    <t>[Phân quyền] Khi vai trò của một người dùng bị thay đổi trong lúc họ đang đăng nhập, quyền mới có được áp dụng ngay hay phải đăng nhập lại mới có hiệu lực</t>
  </si>
  <si>
    <t>Cần có 1 quản trị viên có thể đổi vai trò của 1 người dùng test trong lúc người đó đang đăng nhập.
[Trạng thái chuẩn bị: Cần chuẩn bị]</t>
  </si>
  <si>
    <t>1 người dùng test, được đổi từ vai trò thấp sang vai trò cao (hoặc ngược lại)</t>
  </si>
  <si>
    <t>1. Người dùng đăng nhập với vai trò A
2. Quản trị viên đổi vai trò của người dùng đó sang vai trò B
3. Người dùng tiếp tục thao tác (không đăng xuất) và thử thực hiện các quyền của vai trò B</t>
  </si>
  <si>
    <t>Hệ thống áp dụng đúng theo chính sách đã quy định (áp dụng ngay hoặc yêu cầu đăng nhập lại) — không để người dùng vẫn giữ được quyền của vai trò cũ sau khi đã bị thu hồi, đặc biệt nếu bị hạ quyền</t>
  </si>
  <si>
    <t>TC-SEC-007</t>
  </si>
  <si>
    <t>[VÍ DỤ MINH HOẠ] Kiểm tra vai trò "Quản trị viên Mắt Bão" (nếu là vai trò tách riêng) có xem được dữ liệu nhân sự chính thức ngoài phạm vi Mắt Bão hay không</t>
  </si>
  <si>
    <t>Chuẩn bị 1 tài khoản vai trò quản trị Mắt Bão (nếu vai trò này thực sự đã được tách riêng theo cách hệ thống đang triển khai).
[Trạng thái chuẩn bị: Tạm dừng — cần bộ phận Nghiệp vụ xác nhận vai trò này có tồn tại tách biệt hay không trước khi thực hiện]</t>
  </si>
  <si>
    <t>Tài khoản Quản trị viên Mắt Bão (nếu có)</t>
  </si>
  <si>
    <t>1. Đăng nhập bằng tài khoản vai trò quản trị Mắt Bão
2. Thử xem/thao tác dữ liệu nhân sự chính thức (Coteccons/Unicons) ngoài phạm vi Mắt Bão</t>
  </si>
  <si>
    <t>Không xem được, không thao tác được dữ liệu ngoài phạm vi Mắt Bão đã được cấp</t>
  </si>
  <si>
    <t>TC-SEC-020</t>
  </si>
  <si>
    <t>[Xuất dữ liệu Ngân hàng] Chức năng xuất file chuyển khoản (có chứa số tài khoản và thông tin cá nhân) chỉ dành đúng cho người được cấp quyền xuất file</t>
  </si>
  <si>
    <t>Chuẩn bị 1 tài khoản KHÔNG được cấp quyền Xuất file.
[Trạng thái chuẩn bị: Cần chuẩn bị]</t>
  </si>
  <si>
    <t>Tài khoản không có quyền xuất file</t>
  </si>
  <si>
    <t>1. Đăng nhập bằng tài khoản không có quyền Xuất file
2. Kiểm tra nút xuất file trên giao diện có bị ẩn hoặc mờ đi (không bấm được) hay không
3. Dùng công cụ kỹ thuật thử gọi trực tiếp chức năng xuất file</t>
  </si>
  <si>
    <t>Không thấy hoặc không dùng được chức năng xuất file trên giao diện; nếu gọi trực tiếp bằng công cụ kỹ thuật thì hệ thống cũng từ chối, hiển thị thông báo không có quyền</t>
  </si>
  <si>
    <t>TC-SEC-022</t>
  </si>
  <si>
    <t>[Lách qua giao diện] Dùng công cụ kỹ thuật gọi thẳng vào các thao tác nhạy cảm bằng tài khoản không đủ quyền, bỏ qua hoàn toàn giao diện người dùng</t>
  </si>
  <si>
    <t>Chuẩn bị tài khoản vai trò quyền thấp, và danh sách các thao tác nhạy cảm cần kiểm tra (khoá kỳ lương, duyệt, xuất file, sửa công thức tính lương).
[Trạng thái chuẩn bị: Cần chuẩn bị]</t>
  </si>
  <si>
    <t>Tài khoản vai trò quyền thấp + danh sách các thao tác nhạy cảm cần kiểm tra</t>
  </si>
  <si>
    <t>1. Dùng công cụ kỹ thuật (không qua giao diện) gọi trực tiếp lần lượt từng thao tác nhạy cảm bằng tài khoản vai trò quyền thấp</t>
  </si>
  <si>
    <t>Toàn bộ các thao tác đều bị từ chối đúng theo quyền thật của vai trò đó; không có thao tác nào chỉ được chặn ở giao diện mà phía sau hệ thống không kiểm tra lại</t>
  </si>
  <si>
    <t>◆ 03 · Ẩn dữ liệu theo Công trường/Pháp nhân</t>
  </si>
  <si>
    <t>TC-SEC-008</t>
  </si>
  <si>
    <t>[Ẩn dữ liệu Công trường] Xác nhận Thư ký công trường/Chỉ huy trưởng xem bảng công tuyệt đối không thấy được số tiền lương/phụ cấp</t>
  </si>
  <si>
    <t>Chuẩn bị 1 tài khoản vai trò Thư ký công trường/Chỉ huy trưởng.
[Trạng thái chuẩn bị: Cần chuẩn bị]</t>
  </si>
  <si>
    <t>Tài khoản công trường; dữ liệu bảng công có kèm số tiền lương/phụ cấp ẩn phía sau</t>
  </si>
  <si>
    <t>1. Đăng nhập bằng tài khoản vai trò công trường
2. Mở các màn hình/báo cáo bảng công (bao gồm cả báo cáo bảng công chi tiết)
3. Kiểm tra toàn bộ thông tin hiển thị (kể cả dữ liệu ẩn phía sau giao diện) không chứa số tiền lương/phụ cấp nào</t>
  </si>
  <si>
    <t>Chỉ thấy dữ liệu ngày công, hoàn toàn không có bất kỳ số tiền nào (kể cả dữ liệu ẩn phía sau giao diện không hiển thị trực tiếp cho người dùng)</t>
  </si>
  <si>
    <t>TC-SEC-009</t>
  </si>
  <si>
    <t>[Ẩn dữ liệu Công trường] Thử chỉnh sửa đường dẫn hoặc gọi thẳng vào hệ thống để lấy dữ liệu lương của công trường khác ngoài phạm vi được cấp</t>
  </si>
  <si>
    <t>Chuẩn bị tài khoản công trường A, biết trước mã nhận diện của công trường B.
[Trạng thái chuẩn bị: Cần chuẩn bị]</t>
  </si>
  <si>
    <t>Mã nhận diện công trường khác ngoài phạm vi được cấp</t>
  </si>
  <si>
    <t>1. Đăng nhập bằng tài khoản công trường A
2. Sửa đường dẫn (URL) hoặc dùng công cụ kỹ thuật thay mã công trường B vào yêu cầu</t>
  </si>
  <si>
    <t>Bị từ chối truy cập hoặc trả về không có dữ liệu, không để lộ dữ liệu của công trường B</t>
  </si>
  <si>
    <t>TC-SEC-010</t>
  </si>
  <si>
    <t>[Ẩn dữ liệu Pháp nhân] Người dùng chỉ được cấp quyền 1 pháp nhân (công ty) không truy cập được dữ liệu của pháp nhân khác trên giao diện</t>
  </si>
  <si>
    <t>Chuẩn bị 1 tài khoản chỉ được gán 1 pháp nhân (ví dụ Unicons).
[Trạng thái chuẩn bị: Cần chuẩn bị]</t>
  </si>
  <si>
    <t>Tài khoản chỉ thuộc 1 pháp nhân; dữ liệu của cả 5 pháp nhân</t>
  </si>
  <si>
    <t>1. Đăng nhập vào hệ thống
2. Kiểm tra danh sách chọn pháp nhân trên giao diện chỉ hiện đúng pháp nhân được cấp
3. Thử tìm kiếm/lọc theo tên nhân viên thuộc pháp nhân khác</t>
  </si>
  <si>
    <t>Không thấy, không tìm được dữ liệu của pháp nhân ngoài phạm vi qua bất kỳ chức năng nào trên giao diện (tìm kiếm, lọc, xuất file)</t>
  </si>
  <si>
    <t>TC-SEC-011</t>
  </si>
  <si>
    <t>[Ẩn dữ liệu Pháp nhân] Thử dùng công cụ kỹ thuật sửa trực tiếp mã pháp nhân để truy cập chéo dữ liệu công ty khác</t>
  </si>
  <si>
    <t>Chuẩn bị tài khoản chỉ thuộc 1 pháp nhân, công cụ kỹ thuật để gọi thẳng vào hệ thống.
[Trạng thái chuẩn bị: Cần chuẩn bị]</t>
  </si>
  <si>
    <t>Mã pháp nhân khác</t>
  </si>
  <si>
    <t>1. Đăng nhập vào hệ thống
2. Dùng công cụ kỹ thuật bắt lại yêu cầu thật đang gửi đi
3. Sửa mã pháp nhân trong yêu cầu đó rồi gửi lại</t>
  </si>
  <si>
    <t>Hệ thống tự kiểm tra đúng theo quyền thật của người dùng (không tin vào thông tin do máy người dùng gửi lên), trả về từ chối hoặc không có dữ liệu, không để lộ dữ liệu của pháp nhân khác</t>
  </si>
  <si>
    <t>TC-SEC-012</t>
  </si>
  <si>
    <t>[Ẩn dữ liệu Pháp nhân] Người dùng được cấp quyền xem NHIỀU pháp nhân (quản trị viên cấp cao) chỉ thấy đúng những pháp nhân đã được gán, không thấy dư</t>
  </si>
  <si>
    <t>Chuẩn bị 1 tài khoản quản trị viên cấp cao được gán đúng 3/5 pháp nhân (không phải toàn bộ).
[Trạng thái chuẩn bị: Cần chuẩn bị]</t>
  </si>
  <si>
    <t>Tài khoản được gán nhiều pháp nhân theo danh sách cụ thể</t>
  </si>
  <si>
    <t>1. Đăng nhập vào hệ thống
2. Xác nhận thấy đúng 3 pháp nhân được gán
3. Thử truy cập 2 pháp nhân còn lại không được gán</t>
  </si>
  <si>
    <t>Thấy đúng và đủ 3 pháp nhân được gán, không thấy và không truy cập được 2 pháp nhân còn lại</t>
  </si>
  <si>
    <t>Positive / Negative</t>
  </si>
  <si>
    <t>◆ 04 · Phạm vi truy cập HR/C&amp;B</t>
  </si>
  <si>
    <t>TC-SEC-013</t>
  </si>
  <si>
    <t>[Phạm vi truy cập] Tài khoản không thuộc nhóm HR Admin/C&amp;B Staff hoàn toàn không truy cập được bất kỳ màn hình nào của Payroll</t>
  </si>
  <si>
    <t>Chuẩn bị 1 tài khoản email công ty hợp lệ nhưng chưa được cấp vai trò nào trên Payroll (ví dụ nhân viên thường).
[Trạng thái chuẩn bị: Cần chuẩn bị]</t>
  </si>
  <si>
    <t>Tài khoản chưa được cấp vai trò nào trên Payroll</t>
  </si>
  <si>
    <t>1. Đăng nhập bằng tài khoản email công ty hợp lệ nhưng chưa được cấp vai trò trên Payroll
2. Thử truy cập các trang/chức năng của Payroll</t>
  </si>
  <si>
    <t>Bị từ chối truy cập toàn bộ các chức năng nghiệp vụ (không có quyền mặc định nào được cấp sẵn)</t>
  </si>
  <si>
    <t>TC-SEC-014</t>
  </si>
  <si>
    <t>Xác nhận thực tế cơ chế duyệt của Trưởng bộ phận C&amp;B khi tài liệu gốc nói "không cần tài khoản Trưởng bộ phận" nhưng quy trình duyệt vẫn có bước kiểm tra của Trưởng bộ phận C&amp;B — hai nội dung này đang mâu thuẫn nhau</t>
  </si>
  <si>
    <t>Cần bộ phận Nghiệp vụ xác nhận bằng văn bản cơ chế thực hiện bước duyệt của Trưởng bộ phận (HR duyệt thay hoàn toàn, hay Trưởng bộ phận có tài khoản riêng ngoài phạm vi HR/C&amp;B).
[Trạng thái chuẩn bị: Tạm dừng — mâu thuẫn trong tài liệu gốc chưa được giải quyết dứt điểm]</t>
  </si>
  <si>
    <t>Chưa có, chờ đến khi có xác nhận cơ chế</t>
  </si>
  <si>
    <t>1. Kiểm tra thực tế trên hệ thống: bước duyệt "Trưởng bộ phận C&amp;B kiểm tra" được thực hiện bởi tài khoản nào (HR duyệt thay, hay tài khoản Trưởng bộ phận thật có đăng nhập riêng)</t>
  </si>
  <si>
    <t>(Cần làm rõ trước khi có kỳ vọng cụ thể) — ghi nhận cơ chế thực tế và đối chiếu, không được để lộ quyền vượt phạm vi HR/C&amp;B nếu Trưởng bộ phận thực sự có tài khoản riêng</t>
  </si>
  <si>
    <t>Negative / Exploratory</t>
  </si>
  <si>
    <t>◆ 05 · Audit Log &amp; Nhật ký kiểm tra</t>
  </si>
  <si>
    <t>TC-SEC-015</t>
  </si>
  <si>
    <t>[Nhật ký kiểm tra] Kiểm tra MỌI thao tác chỉnh sửa dữ liệu lương (không chỉ riêng thao tác Ghi đè) đều bắt buộc phải nhập lý do mới được lưu</t>
  </si>
  <si>
    <t>Chuẩn bị tài khoản có quyền chỉnh sửa dữ liệu lương/công thức tính lương.
[Trạng thái chuẩn bị: Cần chuẩn bị — cần liệt kê đầy đủ các loại thao tác chỉnh sửa để kiểm tra hết, không chỉ riêng màn hình sửa công thức đã có kiểm tra tự động]</t>
  </si>
  <si>
    <t>Nhiều loại thao tác chỉnh sửa khác nhau (sửa công thức, sửa định mức, khoá/mở khoá kỳ lương, ghi đè lương cá nhân)</t>
  </si>
  <si>
    <t>1. Với từng loại thao tác chỉnh sửa, thực hiện sửa dữ liệu
2. Để trống ô "Lý do sửa"
3. Thử lưu lại</t>
  </si>
  <si>
    <t>Hệ thống chặn việc lưu ở mọi loại thao tác chỉnh sửa, không chỉ riêng màn hình sửa công thức đã có kiểm tra tự động</t>
  </si>
  <si>
    <t>TC-SEC-016</t>
  </si>
  <si>
    <t>[Nhật ký kiểm tra] Kiểm tra nhật ký ghi đúng và đủ 4 thông tin bắt buộc (giá trị cũ, giá trị mới, người thực hiện, thời gian) cho mọi lần chỉnh sửa</t>
  </si>
  <si>
    <t>Chuẩn bị tài khoản có quyền chỉnh sửa, biết trước giá trị cũ để đối chiếu.
[Trạng thái chuẩn bị: Cần chuẩn bị]</t>
  </si>
  <si>
    <t>1 giá trị lương/công thức cụ thể trước và sau khi sửa</t>
  </si>
  <si>
    <t>1. Thực hiện 1 lần chỉnh sửa hoàn chỉnh (có nhập lý do)
2. Mở màn hình Xem Nhật ký kiểm tra
3. Đối chiếu 4 thông tin bắt buộc với giá trị thực tế đã sửa</t>
  </si>
  <si>
    <t>Cả 4 thông tin đều đúng và đầy đủ, không thiếu thông tin nào</t>
  </si>
  <si>
    <t>TC-SEC-017</t>
  </si>
  <si>
    <t>[Nhật ký kiểm tra] Thử sửa/xoá một bản ghi trong Nhật ký kiểm tra bằng tài khoản thường và tài khoản quản trị viên — xác nhận nhật ký có được giữ nguyên vẹn, không thể chỉnh sửa hay không</t>
  </si>
  <si>
    <t>Chuẩn bị tài khoản quản trị viên và tài khoản thường, đã có sẵn ít nhất 1 bản ghi trong Nhật ký kiểm tra.
[Trạng thái chuẩn bị: Cần chuẩn bị — cần bộ phận Nghiệp vụ/Tuân thủ xác nhận yêu cầu này trước khi có kết quả rõ ràng Đạt/Không đạt]</t>
  </si>
  <si>
    <t>1 bản ghi có sẵn trong Nhật ký kiểm tra</t>
  </si>
  <si>
    <t>1. Thử sửa/xoá bản ghi nhật ký qua giao diện (nếu có)
2. Thử sửa/xoá qua công cụ kỹ thuật, lần lượt bằng tài khoản thường rồi tài khoản quản trị viên</t>
  </si>
  <si>
    <t>(Cần bộ phận Tuân thủ xác nhận) — khuyến nghị: không tài khoản nào, kể cả quản trị viên, được phép sửa/xoá nhật ký qua các chức năng nghiệp vụ thông thường, để giữ giá trị làm bằng chứng khi có tranh chấp/thanh tra</t>
  </si>
  <si>
    <t>TC-SEC-021</t>
  </si>
  <si>
    <t>[Xuất dữ liệu Ngân hàng] Mọi lượt xuất file có chứa dữ liệu nhạy cảm đều được ghi lại đầy đủ trong nhật ký</t>
  </si>
  <si>
    <t>Chuẩn bị tài khoản có quyền xuất file.
[Trạng thái chuẩn bị: Cần chuẩn bị]</t>
  </si>
  <si>
    <t>1 lượt xuất file chuyển khoản ngân hàng/báo cáo bảng công chi tiết</t>
  </si>
  <si>
    <t>1. Thực hiện xuất file chuyển khoản ngân hàng hoặc báo cáo bảng công chi tiết
2. Kiểm tra Nhật ký kiểm tra có ghi lại đúng người thực hiện, thời gian, loại file đã xuất hay không</t>
  </si>
  <si>
    <t>Mọi lượt xuất file đều có bản ghi tương ứng trong nhật ký, không thiếu lượt nào</t>
  </si>
  <si>
    <t>◆ 06 · Input validation &amp; File upload</t>
  </si>
  <si>
    <t>TC-SEC-018</t>
  </si>
  <si>
    <t>[Kiểm tra dữ liệu nhập vào] Nhập các đoạn mã tấn công thường gặp (chèn mã độc vào hệ thống/chèn kịch bản) vào ô "Lý do sửa" và các ô nhập tay khác</t>
  </si>
  <si>
    <t>Chuẩn bị danh sách các đoạn mã tấn công thường dùng để kiểm tra bảo mật (ví dụ các chuỗi ký tự đặc biệt hoặc đoạn mã kịch bản mẫu).
[Trạng thái chuẩn bị: Chuẩn — dùng các mẫu kiểm tra bảo mật thông dụng]</t>
  </si>
  <si>
    <t>Các chuỗi ký tự/mã kiểm tra tấn công thông dụng</t>
  </si>
  <si>
    <t>1. Nhập các chuỗi ký tự/mã kiểm tra vào ô "Lý do sửa" và các ô nhập tay khác (tên cột, ghi chú, ô tìm kiếm/lọc)
2. Lưu lại và quan sát phản hồi của hệ thống
3. Kiểm tra dữ liệu đã lưu có được xử lý an toàn không
4. Kiểm tra khi hiển thị lại có bị chạy thành mã/kịch bản không</t>
  </si>
  <si>
    <t>Dữ liệu được xử lý an toàn, không bị chạy thành mã/kịch bản khi hiển thị lại, không gây lỗi hệ thống hay làm lộ dữ liệu bất thường</t>
  </si>
  <si>
    <t>TC-SEC-019</t>
  </si>
  <si>
    <t>[Nhập file] Thử tải lên file nhập BHXH theo lô có chứa macro/mã độc, sai định dạng, hoặc vượt quá kích thước cho phép</t>
  </si>
  <si>
    <t>Chuẩn bị 1 file Excel có chứa macro (mã tự động chạy), 1 file sai định dạng (đổi đuôi file), 1 file dung lượng rất lớn.
[Trạng thái chuẩn bị: Cần chuẩn bị bộ file test lỗi/không an toàn]</t>
  </si>
  <si>
    <t>3 loại file: file có chứa macro, file sai định dạng, file vượt kích thước cho phép</t>
  </si>
  <si>
    <t>1. Tải lên lần lượt từng file lỗi/không an toàn vào chức năng nhập BHXH theo lô
2. Quan sát phản hồi của hệ thống</t>
  </si>
  <si>
    <t>Hệ thống từ chối với thông báo lỗi rõ ràng cho từng trường hợp, không tự chạy macro, không bị treo/lỗi hệ thống, không nhập dữ liệu nửa chừng gây sai lệch</t>
  </si>
  <si>
    <t>◆ 07 · Bảo mật dữ liệu &amp; Thông báo</t>
  </si>
  <si>
    <t>TC-SEC-024</t>
  </si>
  <si>
    <t>Xác nhận dữ liệu lương/số tài khoản ngân hàng được mã hoá khi lưu trữ và khi truyền đi trên đường truyền an toàn (HTTPS)</t>
  </si>
  <si>
    <t>Cần phối hợp với đội hạ tầng/kiến trúc hệ thống để kiểm tra cấu hình lưu trữ và đường truyền (không tự suy đoán).
[Trạng thái chuẩn bị: Tạm dừng — chưa có xác nhận yêu cầu chính thức từ đội kiến trúc/bảo mật]</t>
  </si>
  <si>
    <t>Không có</t>
  </si>
  <si>
    <t>1. Xác minh toàn bộ đường truyền của Payroll đều dùng kết nối an toàn (không có đường truyền không mã hoá)
2. Phối hợp với đội hạ tầng kiểm tra xem thông tin số tài khoản ngân hàng/lương có được mã hoá khi lưu trữ hay không</t>
  </si>
  <si>
    <t>100% đường truyền dùng kết nối an toàn (HTTPS); dữ liệu nhạy cảm (số tài khoản, lương) được mã hoá khi lưu trữ theo đúng chính sách bảo mật công ty — trường hợp này tạm dừng cho tới khi có xác nhận chính thức</t>
  </si>
  <si>
    <t>Security / Exploratory</t>
  </si>
  <si>
    <t>TC-SEC-025</t>
  </si>
  <si>
    <t>[Tin nhắn nhắc duyệt tự động] Tin nhắn nhắc duyệt không được làm lộ số tiền lương cụ thể, và chỉ gửi đúng đến người quản lý được chỉ định</t>
  </si>
  <si>
    <t>Cấu hình tin nhắn nhắc duyệt tự động cho từ 2 người quản lý khác nhau trở lên.
[Trạng thái chuẩn bị: Cần chuẩn bị]</t>
  </si>
  <si>
    <t>Hồ sơ đang chờ duyệt có kèm số tiền cụ thể</t>
  </si>
  <si>
    <t>1. Kích hoạt gửi tin nhắn nhắc duyệt
2. Kiểm tra nội dung tin nhắn không chứa số tiền lương/phụ cấp cụ thể
3. Xác nhận tin nhắn chỉ gửi đến đúng người quản lý phụ trách hồ sơ đó, không gửi nhầm sang kênh chung hoặc người quản lý khác</t>
  </si>
  <si>
    <t>Nội dung tin nhắn chỉ báo "có hồ sơ đang chờ duyệt", không lộ số tiền cụ thể; gửi đúng người nhận, không gửi nhầm kênh/nhóm chat công khai</t>
  </si>
  <si>
    <t>Actual Result</t>
  </si>
  <si>
    <t>Test Basis, Variable &amp; Risk Ref</t>
  </si>
  <si>
    <t>Status: trạng thái ngắn (Đạt/Không đạt/Cần làm rõ/Chưa chạy). Result: PASS/FAIL/BLOCK (để trống nếu chưa chạy). Actual Result: diễn giải/quan sát thực tế. PIC: người thực hiện. Priority: P0=bắt buộc nền tảng · P1=bắt buộc trước go-live · P2=nên chạy · P3=có thể chạy sau. Severity: Critical=sai tiền lương/thuế/BHXH hoặc vi phạm pháp luật · High=chặn quy trình/rủi ro bảo mật-audit nghiêm trọng · Medium=lỗi phạm vi hẹp · Low=chỉ ảnh hưởng hiển thị. Sheet này được tạo 04/09/2026 từ đối chiếu sheet "Function List" (Payroll CTD - Plan (1).xlsx) với toàn bộ test case hiện có — các function chưa có TC nào cover.</t>
  </si>
  <si>
    <t>◆ Menu Công thức — Thêm cột / quản lý cột lương</t>
  </si>
  <si>
    <t>TC-UI-001</t>
  </si>
  <si>
    <t>[Công thức] Thêm một cột công thức lương mới — trường hợp nhập đầy đủ thông tin hợp lệ (mã, tên, công thức tính).</t>
  </si>
  <si>
    <t>Tài khoản đang dùng có quyền vào màn hình Công thức (dành cho quản trị nhân sự/C&amp;B); hệ thống đã có sẵn ít nhất 1 công thức có thể tham chiếu được, ví dụ 'PC cơm (tổng)' (mã MEAL_ALLOW), để dùng trong công thức mới.
[Trạng thái chuẩn bị: Chờ dựng — cần đội kỹ thuật xác nhận lại giao diện màn hình bật lên khi bấm nút 'Thêm cột', có liên quan đến một khoảng trống kiểm thử đã ghi nhận ở case TC-TH-107 (giao diện này chưa được kiểm thử lần nào)]</t>
  </si>
  <si>
    <t>Mã cột mới: TEST_NEW_COL; Tên cột: 'Cột test mới'; Công thức: [PC cơm (tổng)] x 1; Loại cột: Công thức tính</t>
  </si>
  <si>
    <t>1. Mở menu Công thức
2. Chọn Thêm cột
3. Nhập đầy đủ Mã, Tên, Công thức hợp lệ theo dữ liệu test
4. Bấm Lưu</t>
  </si>
  <si>
    <t>Cột lương mới hiện đúng vị trí trong danh sách công thức (Bảng công thức); có thể dùng ngay mã cột này trong các công thức khác mà không làm hỏng các công thức đã có từ trước.</t>
  </si>
  <si>
    <t>Chưa thực hiện kiểm tra này.</t>
  </si>
  <si>
    <t>Function List (Payroll CTD - Plan) — Menu Công thức, dòng 'Thêm cột' · BRD-47, BRD-49, BRD-50, BRD-51 · liên quan gap TC-TH-107 (modal 0% coverage)</t>
  </si>
  <si>
    <t>TC-UI-002</t>
  </si>
  <si>
    <t>[Công thức] Thêm cột công thức mới — kiểm tra hệ thống có báo lỗi đúng khi nhập mã bị trùng hoặc công thức tham chiếu tới một biến không tồn tại.</t>
  </si>
  <si>
    <t>Hệ thống đã có sẵn 1 mã cột công thức, ví dụ 'PC cơm (tổng)' (mã MEAL_ALLOW), để dùng cho việc thử nhập trùng mã.
[Trạng thái chuẩn bị: Chờ dựng]</t>
  </si>
  <si>
    <t>Trường hợp (a): Nhập mã cột = MEAL_ALLOW (mã này đã có sẵn trong hệ thống); Trường hợp (b): Nhập mã cột mới hợp lệ (chưa trùng) nhưng công thức tham chiếu tới một mã không có thật, ví dụ [KHONG_TON_TAI] x 1</t>
  </si>
  <si>
    <t>1. Thử thêm cột mới theo Trường hợp (a): dùng mã cột đã tồn tại → xem hệ thống phản hồi gì
2. Thử thêm cột mới theo Trường hợp (b): dùng công thức tham chiếu mã không tồn tại → xem hệ thống phản hồi gì</t>
  </si>
  <si>
    <t>Trường hợp (a): hệ thống không cho lưu, hiển thị rõ thông báo lỗi 'Mã đã tồn tại' — không tạo ra cột trùng và không âm thầm ghi đè lên cột cũ. Trường hợp (b): hệ thống không cho lưu, hoặc hiển thị cảnh báo rõ ràng 'biến không tồn tại' — không được phép lưu một công thức tham chiếu tới mã không có thật, vì điều này dễ gây lỗi khi tính lương thật sau này.</t>
  </si>
  <si>
    <t>Function List — Menu Công thức, dòng 'Thêm cột' (validate) · BRD-47, BRD-49, BRD-50, BRD-51</t>
  </si>
  <si>
    <t>◆ Menu Tệp/Bảng lương/Báo cáo — thao tác Mở/Lưu cơ bản</t>
  </si>
  <si>
    <t>TC-UI-003</t>
  </si>
  <si>
    <t>[Tệp] Chức năng Mở (Open) — xem danh sách các phiên bản đã lưu, chọn một phiên bản và kiểm tra dữ liệu tải lên đúng là của phiên bản đó.</t>
  </si>
  <si>
    <t>Hệ thống đã có sẵn ít nhất 2 phiên bản đã lưu khác nhau (khác kỳ lương hoặc khác thời điểm lưu).
[Trạng thái chuẩn bị: Chờ dựng]</t>
  </si>
  <si>
    <t>Phiên bản A (đã lưu vào thời điểm 1, chứa dữ liệu X); Phiên bản B (đã lưu vào thời điểm 2 sau đó, chứa dữ liệu Y khác với dữ liệu X)</t>
  </si>
  <si>
    <t>1. Mở menu Tệp
2. Chọn Mở (Open)
3. Chọn Phiên bản A trong danh sách
4. Kiểm tra dữ liệu hiển thị đúng là dữ liệu X của Phiên bản A, không bị lẫn với dữ liệu Y của phiên bản đang mở trước đó</t>
  </si>
  <si>
    <t>Dữ liệu hiển thị lên đúng khớp với Phiên bản A vừa chọn, không bị lẫn hoặc ghi đè bởi dữ liệu của phiên bản đang mở trước đó.</t>
  </si>
  <si>
    <t>Function List — Menu Tệp, dòng 'Mở (Open)' · UI (không có BRD ID riêng)</t>
  </si>
  <si>
    <t>TC-UI-004</t>
  </si>
  <si>
    <t>[Tệp] Chức năng Lưu (Save) — lưu lại phiên bản đang làm việc, sau đó tải lại để kiểm tra dữ liệu vừa lưu có còn đúng không.</t>
  </si>
  <si>
    <t>Đang có một thay đổi chưa lưu trên màn hình Tệp/Bảng công.
[Trạng thái chuẩn bị: Chờ dựng]</t>
  </si>
  <si>
    <t>Sửa 1 giá trị bất kỳ trên bảng đang mở, trước khi bấm Lưu</t>
  </si>
  <si>
    <t>1. Bấm Lưu (Save)
2. Tải lại trang hoặc mở lại phiên bản vừa lưu</t>
  </si>
  <si>
    <t>Giá trị vừa sửa vẫn được giữ nguyên sau khi tải lại trang — không bị mất hoặc quay về giá trị cũ.</t>
  </si>
  <si>
    <t>Function List — Menu Tệp, dòng 'Lưu (Save)' · UI</t>
  </si>
  <si>
    <t>TC-UI-005</t>
  </si>
  <si>
    <t>[Bảng lương] Chức năng Lưu (Bảng lương) — lưu lại bảng lương đang làm việc, sau đó tải lại để kiểm tra dữ liệu vừa lưu có còn đúng không.</t>
  </si>
  <si>
    <t>Đang có một thay đổi chưa lưu trên màn hình Bảng lương.
[Trạng thái chuẩn bị: Chờ dựng]</t>
  </si>
  <si>
    <t>Sửa 1 giá trị điều chỉnh lương bất kỳ (khoản cộng/trừ thêm), trước khi bấm Lưu</t>
  </si>
  <si>
    <t>1. Bấm Lưu (Bảng lương)
2. Tải lại hoặc mở lại phiên bản vừa lưu</t>
  </si>
  <si>
    <t>Giá trị điều chỉnh lương vừa sửa vẫn được giữ nguyên sau khi tải lại trang.</t>
  </si>
  <si>
    <t>Function List — Menu Bảng lương, dòng 'Lưu (Bảng lương)' · UI</t>
  </si>
  <si>
    <t>TC-UI-006</t>
  </si>
  <si>
    <t>[Báo cáo] Chức năng Lưu (Báo cáo) — lưu lại báo cáo đang xem (ví dụ sau khi tùy chỉnh các cột hiển thị), sau đó tải lại để kiểm tra cấu hình vừa lưu có còn đúng không.</t>
  </si>
  <si>
    <t>Đang có một thay đổi về cách hiển thị báo cáo (ví dụ ẩn/hiện cột) chưa được lưu.
[Trạng thái chuẩn bị: Chờ dựng — theo ghi chú trong danh sách chức năng, phần này ghi 'đang xử lý', có thể đội kỹ thuật vẫn đang phát triển dở dang]</t>
  </si>
  <si>
    <t>Ẩn 1 cột bất kỳ trên báo cáo đang mở, trước khi bấm Lưu</t>
  </si>
  <si>
    <t>1. Bấm Lưu (Báo cáo)
2. Tải lại báo cáo</t>
  </si>
  <si>
    <t>Cấu hình ẩn cột vừa lưu vẫn được giữ nguyên sau khi tải lại báo cáo.</t>
  </si>
  <si>
    <t>Function List — Menu Báo cáo, dòng 'Lưu (Báo cáo)' (Noted='processing') · UI</t>
  </si>
  <si>
    <t>Low</t>
  </si>
  <si>
    <t>◆ Menu Trang chủ — Lưu Bảng công/phụ cấp (Chưa khả dụng)</t>
  </si>
  <si>
    <t>TC-UI-007</t>
  </si>
  <si>
    <t>[Trang chủ] [Chưa khả dụng] Chức năng Lưu (Bảng công/Bảng công phụ cấp) — ghi nhận lại rằng tính năng này chưa được đưa vào sử dụng, để không bị bỏ sót khỏi kế hoạch kiểm thử sau này.</t>
  </si>
  <si>
    <t>Không có (chức năng chưa được đưa vào sử dụng).
[Trạng thái chuẩn bị: Chưa khả dụng theo danh sách chức năng — hiện chỉ ghi nhận, chưa cần soạn kịch bản kiểm thử chi tiết]</t>
  </si>
  <si>
    <t>1. Theo dõi tiến độ, khi nào tính năng này được bật lên môi trường thử nghiệm (staging)
2. Quay lại bổ sung kịch bản kiểm thử chi tiết, tương tự như 2 case Lưu Tệp và Lưu Bảng lương ở trên (TC-UI-004, TC-UI-005)</t>
  </si>
  <si>
    <t>Ghi nhận đây là khoảng trống ưu tiên thấp: chức năng 'Lưu' riêng cho Bảng công/Bảng công phụ cấp hiện chưa được đưa vào sử dụng theo danh sách chức năng — đây không phải lỗi (bug), chỉ đơn giản là tính năng chưa được triển khai.</t>
  </si>
  <si>
    <t>Function List — Menu Trang chủ, dòng 'Lưu (Bảng công/bảng công phụ cấp)' (Noted='Chưa khả dụng') · BRD-05</t>
  </si>
  <si>
    <t>◆ Menu Báo cáo &amp; Trợ giúp — tiện ích khác</t>
  </si>
  <si>
    <t>TC-UI-008</t>
  </si>
  <si>
    <t>[Báo cáo] Chức năng Trường báo cáo — ẩn/hiện các cột hiển thị, kiểm tra việc xem trên màn hình và xuất file export có phản ánh đúng lựa chọn ẩn/hiện đó không.</t>
  </si>
  <si>
    <t>Đang mở một báo cáo bất kỳ có nhiều cột dữ liệu.
[Trạng thái chuẩn bị: Chờ dựng]</t>
  </si>
  <si>
    <t>Ẩn 1 cột, ví dụ cột 'Mã phòng ban', sau đó hiện lại cột này</t>
  </si>
  <si>
    <t>1. Ẩn cột 'Mã phòng ban'
2. Kiểm tra cột này biến mất khỏi cả màn hình xem VÀ file export
3. Hiện lại cột 'Mã phòng ban'
4. Kiểm tra cột quay về đúng vị trí ban đầu, không làm xáo trộn thứ tự các cột khác</t>
  </si>
  <si>
    <t>Thao tác ẩn và hiện cột đều hoạt động đúng, không làm ảnh hưởng đến dữ liệu các cột còn lại và không làm lệch thứ tự các cột khi xuất file export.</t>
  </si>
  <si>
    <t>Function List — Menu Báo cáo, dòng 'Trường báo cáo' · BRD-64</t>
  </si>
  <si>
    <t>TC-UI-009</t>
  </si>
  <si>
    <t>[Trợ giúp] Mục Thông tin hỗ trợ — kiểm tra nội dung liên hệ bộ phận IT Support hiển thị đúng.</t>
  </si>
  <si>
    <t>Không có điều kiện chuẩn bị đặc biệt.
[Trạng thái chuẩn bị: Chờ dựng]</t>
  </si>
  <si>
    <t>1. Mở menu Trợ giúp
2. Chọn Thông tin hỗ trợ</t>
  </si>
  <si>
    <t>Hiển thị đúng và đầy đủ thông tin liên hệ bộ phận IT Support (kênh liên hệ, giờ hỗ trợ...) — không phải là một trang trống hoặc báo lỗi không tìm thấy trang.</t>
  </si>
  <si>
    <t>Function List — Menu Trợ giúp, dòng 'Thông tin hỗ trợ' · (không có BRD ID)</t>
  </si>
  <si>
    <t>Status: trạng thái ngắn (Đạt/Không đạt/Cần làm rõ/Chưa chạy). Result: PASS/FAIL/BLOCK (để trống nếu chưa chạy). Actual Result: diễn giải/quan sát thực tế. PIC: người thực hiện. Priority: P0=bắt buộc nền tảng · P1=bắt buộc trước go-live · P2=nên chạy · P3=có thể chạy sau. Severity: Critical=sai tiền lương/thuế/BHXH hoặc vi phạm pháp luật · High=chặn quy trình/rủi ro bảo mật-audit nghiêm trọng · Medium=lỗi phạm vi hẹp · Low=chỉ ảnh hưởng hiển thị. Sheet này được tạo 04/09/2026 từ đối chiếu sheet "Function List" (Payroll CTD - Plan (1).xlsx) — các màn Cấu hình (CRUD tham số) và Phân quyền chi tiết trước đó chưa có TC nào test UI thật (khác với TC-CT test CÔNG THỨC dùng chung tham số).</t>
  </si>
  <si>
    <t>◆ Menu Cấu hình — CRUD tham số</t>
  </si>
  <si>
    <t>TC-CFG-001</t>
  </si>
  <si>
    <t>[Cấu hình] Kỳ lương — Kiểm tra màn hình cấu hình chu kỳ tính lương (ngày bắt đầu, ngày kết thúc của kỳ lương), đảm bảo thay đổi áp dụng đúng vào kỳ đang tính.</t>
  </si>
  <si>
    <t>Tài khoản có quyền quản trị nhân sự (hr_admin) để truy cập màn Cấu hình &gt; Kỳ lương.
[Trạng thái chuẩn bị: Chưa xây dựng chi tiết — hiện chưa có tài liệu yêu cầu riêng cho màn hình này, mới chỉ kiểm tra cách tính theo 2 chu kỳ ở tài liệu BRD-05]</t>
  </si>
  <si>
    <t>Kỳ lương hiện tại: từ ngày 21 tháng trước đến ngày 20 tháng này; thử xem/đổi cấu hình kỳ lương của tháng kế tiếp.</t>
  </si>
  <si>
    <t>1. Vào màn Cấu hình &gt; Kỳ lương
2. Kiểm tra kỳ lương đang áp dụng có hiển thị đúng (từ ngày 21 tháng trước đến ngày 20 tháng này)
3. Kiểm tra có xem lại được lịch sử các kỳ lương trước đó không</t>
  </si>
  <si>
    <t>Cấu hình kỳ lương hiển thị chính xác. Hệ thống không cho phép sửa các kỳ lương đã chốt sổ hoặc đã có dữ liệu lương, để tránh làm sai lệch số liệu lịch sử.</t>
  </si>
  <si>
    <t>Function List — Menu Cấu hình, dòng 'Kỳ lương' · (không có BRD ID riêng) · liên quan BRD-05</t>
  </si>
  <si>
    <t>TC-CFG-002</t>
  </si>
  <si>
    <t>[Cấu hình] Bảo hiểm &amp; Thuế — Kiểm tra màn hình cấu hình các tham số bảo hiểm và thuế (mức trần đóng BHXH, tỷ lệ đóng, mức giảm trừ gia cảnh...), đảm bảo khi sửa tham số thì công thức tính lương áp dụng đúng.</t>
  </si>
  <si>
    <t>Tài khoản có quyền quản trị nhân sự (hr_admin) để truy cập màn Cấu hình &gt; Bảo hiểm &amp; Thuế.
[Trạng thái chuẩn bị: Chưa xây dựng chi tiết — khác với 36 trường hợp kiểm thử đã có (chỉ kiểm tra CÔNG THỨC dùng tham số có sẵn), trường hợp này kiểm tra chính MÀN HÌNH CẤU HÌNH nơi tạo ra các tham số đó]</t>
  </si>
  <si>
    <t>Thử sửa một tham số, ví dụ: mức giảm trừ gia cảnh cho người phụ thuộc (đang là 6.200.000 đồng) đổi sang một giá trị khác để kiểm thử, thực hiện trên môi trường thử nghiệm.</t>
  </si>
  <si>
    <t>1. Vào màn Cấu hình &gt; Bảo hiểm &amp; Thuế
2. Sửa một tham số (ví dụ mức giảm trừ gia cảnh cho người phụ thuộc)
3. Lưu lại thay đổi
4. Chạy lại một công thức tính lương có sử dụng tham số vừa sửa (ví dụ công thức tính giảm trừ gia cảnh người phụ thuộc)</t>
  </si>
  <si>
    <t>Tham số vừa sửa được áp dụng ngay vào công thức tính lương ngay sau khi lưu (không cần cập nhật/triển khai lại hệ thống), giá trị cũ không còn ảnh hưởng đến kỳ lương đang tính.</t>
  </si>
  <si>
    <t>Function List — Menu Cấu hình, dòng 'Bảo hiểm &amp; Thuế' · BRD-07, BRD-50, BRD-51 · liên quan TC-CT-052 (DEPENDENT_DED)</t>
  </si>
  <si>
    <t>TC-CFG-003</t>
  </si>
  <si>
    <t>[Cấu hình] Ngày lễ — Kiểm tra chức năng thêm/sửa/xóa danh sách ngày lễ trong năm, đảm bảo áp dụng đúng vào công thức tính Nghỉ lễ và tính tăng ca ngày lễ.</t>
  </si>
  <si>
    <t>Tài khoản có quyền quản trị nhân sự (hr_admin) để truy cập màn Cấu hình &gt; Ngày lễ.
[Trạng thái chuẩn bị: Chưa xây dựng chi tiết — theo ghi chú, danh sách ngày lễ nên lấy từ hệ thống nhân sự (WD), có thể lưu riêng ở hệ thống chấm công (Tingting) — cần bộ phận nghiệp vụ xác nhận nguồn dữ liệu chính thức trước khi xây dựng chi tiết trường hợp kiểm thử]</t>
  </si>
  <si>
    <t>Thêm 1 ngày lễ mới (ví dụ ngày nghỉ bù theo quyết định riêng của công ty, không có trong lịch nghỉ lễ do Nhà nước quy định)</t>
  </si>
  <si>
    <t>1. Vào màn Cấu hình &gt; Ngày lễ, thêm một ngày lễ mới
2. Mở Bảng công của kỳ có chứa ngày vừa thêm
3. Kiểm tra ngày đó có được tự động đánh dấu là 'L' (nghỉ lễ) không</t>
  </si>
  <si>
    <t>Ngày lễ mới thêm được áp dụng đúng vào Bảng công (tự động đánh dấu là nghỉ lễ) và tính đúng hệ số tăng ca ngày lễ cho nhân viên đi làm hôm đó.</t>
  </si>
  <si>
    <t>Function List — Menu Cấu hình, dòng 'Ngày lễ' · (ghi chú: nên lấy master data từ WD) · liên quan BRD-05</t>
  </si>
  <si>
    <t>TC-CFG-004</t>
  </si>
  <si>
    <t>[Cấu hình] Cấp bậc nhân viên — Kiểm tra danh mục các cấp bậc (Level), đảm bảo áp dụng đúng vào các khoản phụ cấp gắn theo cấp bậc (phụ cấp điện thoại, phụ cấp ô tô cho cấp L7/L8/Tổng giám đốc).</t>
  </si>
  <si>
    <t>Tài khoản có quyền quản trị nhân sự (hr_admin) để truy cập màn Cấu hình &gt; Cấp bậc nhân viên.
[Trạng thái chuẩn bị: Chưa xây dựng chi tiết — liên quan trực tiếp đến một khoảng trống đã ghi nhận (trường hợp tăng cấp bậc giữa kỳ lương: hệ thống hiện KHÔNG có biến lưu cấp bậc trong cấu trúc tính lương)]</t>
  </si>
  <si>
    <t>Xem danh mục cấp bậc hiện có (L1 đến L8, Tổng giám đốc), đối chiếu với mức phụ cấp ô tô đã biết (L7 = 10 triệu, L8 = 25 triệu, Tổng giám đốc = 35 triệu, theo tài liệu PRD2 mục 4.3)</t>
  </si>
  <si>
    <t>1. Vào màn Cấu hình &gt; Cấp bậc nhân viên
2. Kiểm tra danh mục cấp bậc hiển thị đầy đủ
3. Đối chiếu mức phụ cấp gắn theo từng cấp bậc có đúng như quy định không</t>
  </si>
  <si>
    <t>Danh mục cấp bậc đầy đủ, mức phụ cấp hiển thị đúng khớp với tài liệu PRD2 mục 4.3. Đồng thời cần xác nhận thêm: cấu hình này có được dùng làm căn cứ để tách giai đoạn tính lương khi nhân viên đổi cấp bậc giữa kỳ hay không (nếu không thì càng khẳng định thêm khoảng trống đã ghi nhận ở trên).</t>
  </si>
  <si>
    <t>Function List — Menu Cấu hình, dòng 'Cấp bậc nhân viên' · (ghi chú: nên lấy master data từ WD) · liên quan TC-CT-142, TC-CT-095, BRD-13</t>
  </si>
  <si>
    <t>TC-CFG-005</t>
  </si>
  <si>
    <t>[Cấu hình] Hồi tố lương — Kiểm tra màn hình thao tác thực hiện hồi tố lương (khác với phần LOGIC tính hồi tố đã kiểm thử riêng ở các trường hợp khác, đây là kiểm thử cho chính màn hình thao tác).</t>
  </si>
  <si>
    <t>Tài khoản có quyền quản trị nhân sự/C&amp;B; có sẵn 1 kỳ lương cũ đã chốt sổ cần thực hiện hồi tố.
[Trạng thái chuẩn bị: Chưa xây dựng chi tiết]</t>
  </si>
  <si>
    <t>Chọn 1 nhân viên, 1 kỳ lương cũ đã chốt sổ, thực hiện hồi tố tăng lương có hiệu lực lùi về trước</t>
  </si>
  <si>
    <t>1. Vào màn Cấu hình &gt; Hồi tố lương
2. Chọn nhân viên, chọn kỳ lương cũ và nhập số tiền cần hồi tố
3. Xác nhận thực hiện</t>
  </si>
  <si>
    <t>Hệ thống tính đúng khoản tiền chênh lệch cần trả bổ sung cho nhân viên, và ghi nhận khoản này vào kỳ lương HIỆN TẠI (không sửa lại số liệu của kỳ lương cũ đã chốt sổ). Hệ thống có lưu lại nhật ký (audit log) ghi nhận việc hồi tố này.</t>
  </si>
  <si>
    <t>Function List — Menu Cấu hình, dòng 'Hồi tố lương' · (không có BRD ID riêng) · liên quan TC-CT-104, TC-TH-078</t>
  </si>
  <si>
    <t>TC-CFG-006</t>
  </si>
  <si>
    <t>[Cấu hình] Loại ngày nghỉ — Kiểm tra chức năng thêm/sửa/xóa danh mục các ký hiệu công (x, P/F, R/Fo, L, NB, Ts/TS, ON/OD, TN, Ro...) theo tài liệu PRD1 mục 4.2, đảm bảo áp dụng đúng vào Bảng công.</t>
  </si>
  <si>
    <t>Tài khoản có quyền quản trị nhân sự (hr_admin) để truy cập màn Cấu hình &gt; Loại ngày nghỉ.
[Trạng thái chuẩn bị: Chưa xây dựng chi tiết — đã có một trường hợp kiểm thử khác kiểm tra một câu hỏi về phạm vi nghiệp vụ liên quan, nhưng CHƯA kiểm thử chính màn hình thêm/sửa/xóa danh mục này]</t>
  </si>
  <si>
    <t>Đối chiếu danh mục ký hiệu công hiện có với danh sách tối thiểu bắt buộc theo tài liệu PRD1 mục 4.2 (12 ký hiệu)</t>
  </si>
  <si>
    <t>1. Vào màn Cấu hình &gt; Loại ngày nghỉ
2. Đối chiếu danh mục có đủ 12 ký hiệu công bắt buộc theo quy định không
3. Kiểm tra mỗi ký hiệu có được gán đúng loại nghỉ có lương/không lương tương ứng không</t>
  </si>
  <si>
    <t>Danh mục có đầy đủ tối thiểu 12 ký hiệu công theo quy định (PRD1 mục 4.2), không thiếu ký hiệu nào. Việc gán có lương/không lương cho từng ký hiệu khớp đúng với kết quả đã kiểm thử ở các trường hợp liên quan khác.</t>
  </si>
  <si>
    <t>Function List — Menu Cấu hình, dòng 'Loại ngày nghỉ' · PRD1 §4.2 · liên quan TC-CT-123</t>
  </si>
  <si>
    <t>◆ Menu Cấu hình — Phân quyền chi tiết</t>
  </si>
  <si>
    <t>TC-CFG-007</t>
  </si>
  <si>
    <t>[Phân quyền] Gán quyền cho nhân viên — Kiểm tra việc gán một quyền cụ thể cho một nhân viên riêng lẻ, đảm bảo quyền có hiệu lực ngay và đúng phạm vi (không bị lan sang các nhân viên khác cùng vai trò).</t>
  </si>
  <si>
    <t>Tài khoản có quyền quản trị nhân sự (hr_admin) để quản lý phân quyền; có 1 nhân viên chưa được gán quyền đặc biệt nào.</t>
  </si>
  <si>
    <t>Gán quyền 'Xem Bảng lương công trường X' cho 1 nhân viên cụ thể (không phải gán theo vai trò mặc định)</t>
  </si>
  <si>
    <t>1. Gán quyền cho nhân viên đó
2. Đăng nhập bằng tài khoản của nhân viên vừa được gán quyền, kiểm tra truy cập đúng đúng phạm vi vừa gán
3. Đăng nhập bằng tài khoản của một nhân viên khác cùng vai trò (chưa được gán quyền này), kiểm tra tài khoản đó KHÔNG truy cập được</t>
  </si>
  <si>
    <t>Chỉ đúng nhân viên được gán quyền mới truy cập được, các nhân viên khác cùng vai trò không bị ảnh hưởng (quyền gán riêng cho từng cá nhân không bị lan sang người khác cùng vai trò).</t>
  </si>
  <si>
    <t>Function List — Menu Cấu hình, dòng 'Gán quyền NV' · BRD-42</t>
  </si>
  <si>
    <t>TC-CFG-008</t>
  </si>
  <si>
    <t>[Phân quyền] Ma trận quyền theo từng nhân viên — Kiểm tra màn hình xem/cấu hình quyền theo TỪNG NHÂN VIÊN cụ thể (khác với Ma trận quyền theo Vai trò đã kiểm thử ở trường hợp khác).</t>
  </si>
  <si>
    <t>Tài khoản có quyền quản trị nhân sự (hr_admin); có ít nhất 1 nhân viên đã được gán quyền riêng khác với vai trò mặc định (như ở TC-CFG-007).</t>
  </si>
  <si>
    <t>Nhân viên đã được gán quyền riêng ở TC-CFG-007</t>
  </si>
  <si>
    <t>1. Vào màn Ma trận quyền theo Nhân viên
2. Tìm đúng nhân viên đã được gán quyền riêng
3. Đối chiếu ma trận hiển thị có phản ánh đúng quyền RIÊNG đã gán cho nhân viên đó (khác với quyền mặc định theo vai trò)</t>
  </si>
  <si>
    <t>Ma trận quyền theo từng nhân viên hiển thị đúng, phân biệt rõ ràng giữa quyền được kế thừa từ vai trò và quyền được gán riêng — không bị nhầm lẫn hoặc hiển thị sai giữa hai loại quyền này.</t>
  </si>
  <si>
    <t>Function List — Menu Cấu hình, dòng 'Ma trận theo User' · BRD-42 · liên quan TC-TH-022 (Ma trận theo Role) và TC-CFG-007</t>
  </si>
  <si>
    <t>TC-CFG-009</t>
  </si>
  <si>
    <t>[Phân quyền] Rà soát quyền — Kiểm tra chức năng phát hiện đúng các trường hợp nhân viên có quyền bất thường (ví dụ quyền vượt quá vai trò, quyền tạm thời đã hết hiệu lực nhưng chưa được thu hồi).</t>
  </si>
  <si>
    <t>Có sẵn ít nhất 1 trường hợp quyền bất thường được tạo chủ đích để kiểm thử (ví dụ: một quyền tạm thời đã hết hạn nhưng hệ thống chưa tự động thu hồi).</t>
  </si>
  <si>
    <t>Một nhân viên có quyền tạm thời đã hết hạn hiệu lực (ví dụ: được gán quyền xem dữ liệu công trường Y trong 30 ngày, đã quá 30 ngày)</t>
  </si>
  <si>
    <t>1. Vào chức năng Rà soát quyền
2. Chạy rà soát
3. Kiểm tra hệ thống có liệt kê đúng nhân viên có quyền bất thường/hết hạn nói trên không</t>
  </si>
  <si>
    <t>Chức năng rà soát phát hiện đúng và đầy đủ các trường hợp bất thường đã dựng sẵn, không bỏ sót trường hợp nào, và không báo nhầm những nhân viên có quyền hợp lệ thành bất thường.</t>
  </si>
  <si>
    <t>Function List — Menu Cấu hình, dòng 'Rà soát quyền' · BRD-42, BRD-46</t>
  </si>
  <si>
    <t>BRD ID / Nhóm</t>
  </si>
  <si>
    <t>Nhóm nghiệp vụ liên quan</t>
  </si>
  <si>
    <t>Mã TC liên quan</t>
  </si>
  <si>
    <t>Số lượng TC</t>
  </si>
  <si>
    <t>Rủi ro liên quan</t>
  </si>
  <si>
    <t>Mức sẵn sàng / Trạng thái coverage</t>
  </si>
  <si>
    <t>BRD-04</t>
  </si>
  <si>
    <t>02 · Lương cơ bản &amp; lương thực tế trong tháng, 06 · Tổng thu nhập &amp; điều chỉnh lương trong tháng, 10 · Lương thực nhận cuối cùng</t>
  </si>
  <si>
    <t>TC-CT-005, TC-CT-006, TC-CT-008, TC-CT-009, TC-CT-010, TC-CT-011, TC-CT-012, TC-CT-013, TC-CT-014, TC-CT-036, TC-CT-037, TC-CT-038, TC-CT-039, TC-CT-067, TC-CT-071, TC-CT-091, TC-CT-094, TC-CT-097, TC-CT-105, TC-CT-072, TC-CT-073, TC-CT-074, TC-CT-075, TC-CT-114, TC-CT-107, TC-PF-004, TC-PF-005, TC-PF-009, TC-PF-010, TC-CT-132, TC-CT-133, TC-CT-134, TC-CT-135, TC-CT-136, TC-CT-143, TC-CT-144, TC-CT-145</t>
  </si>
  <si>
    <t>R1, R16, R18, R20</t>
  </si>
  <si>
    <t>Một phần — 21/24 TC sẵn sàng, 3 chờ bổ sung (thêm TC-CT-114 2026-07-24: BRD-04 có quyết định HR mới — Chi Thanh xác nhận không tách 2 Payslip khi đổi lương giữa kỳ, nhưng Payroll structure chưa có mã biến tham số hoá) | +4 TC Performance/Security mới (bổ sung 26/08/2026): TC-PF-004, TC-PF-005, TC-PF-009, TC-PF-010 | +5 TC mới bổ sung 04/09/2026 (rà soát Payroll template vs Payroll structure): TC-CT-132/133 (PC nhà ở Taxable/Non-tax, PASS — đối chiếu công thức GROSS/TAXABLE_GROSS), TC-CT-134/135 (PC Khác Taxable/Non-tax, PASS, tương tự), TC-CT-136 (CONS_ALLOW - Phụ cấp công trình đã Signoff nhưng KHÔNG có công thức nào tham chiếu — gap mới, BLOCK, cần Functional xác nhận) | +3 TC mới 04/09/2026: TC-CT-143 (tăng phụ cấp giữa kỳ — gap, BLOCK, không có cơ chế 2-giai-đoạn cho input phụ cấp), TC-CT-144/145 (nghỉ việc còn/hết phép tồn, PASS)</t>
  </si>
  <si>
    <t>BRD-05</t>
  </si>
  <si>
    <t>01 · Chấm công &amp; ngày công hưởng lương</t>
  </si>
  <si>
    <t>TC-CT-001, TC-CT-002, TC-CT-003, TC-CT-004, TC-CT-137, TC-CT-138, TC-CT-139, TC-CT-140, TC-CT-141</t>
  </si>
  <si>
    <t>Một phần — 2/4 TC sẵn sàng, 2 chờ bổ sung | +5 TC mới 04/09/2026 (vòng đời nhân viên): TC-CT-137/138 (on-board đầu/giữa kỳ, PASS), TC-CT-139 (nghỉ việc giữa kỳ, PASS), TC-CT-140 (nghỉ việc đúng ngày cuối kỳ — boundary off-by-one, BLOCK), TC-CT-141 (on-board+nghỉ việc CÙNG kỳ, BLOCK) — tất cả phụ thuộc gap TC-CT-004 (ACTUAL_DAYS chưa có công thức) để verify bằng số liệu thật</t>
  </si>
  <si>
    <t>BRD-07</t>
  </si>
  <si>
    <t>03 · Mức lương dùng để đóng bảo hiểm, 07 · Bảo hiểm xã hội — phần người lao động đóng, 08 · Giảm trừ gia cảnh &amp; thu nhập tính thuế, 09 · Thuế thu nhập cá nhân (TNCN), 11 · Bảo hiểm xã hội &amp; kinh phí công đoàn — phần công ty đóng</t>
  </si>
  <si>
    <t>TC-CT-015, TC-CT-016, TC-CT-017, TC-CT-018, TC-CT-019, TC-CT-020, TC-CT-021, TC-CT-049, TC-CT-055, TC-CT-056, TC-CT-057, TC-CT-058, TC-CT-059, TC-CT-060, TC-CT-061, TC-CT-062, TC-CT-063, TC-CT-064, TC-CT-065, TC-CT-066, TC-CT-076, TC-CT-077, TC-CT-078, TC-CT-079, TC-CT-080, TC-CT-096, TC-CT-098, TC-CT-099, TC-CT-100, TC-CT-101, TC-CT-102, TC-CT-115</t>
  </si>
  <si>
    <t>R1, R12, R15, R29</t>
  </si>
  <si>
    <t>Một phần — 31/32 TC sẵn sàng, 1 chờ bổ sung (thêm TC-CT-115 2026-07-24: boundary đúng-tại-trần UI_CAP, đối xứng với TC-CT-017 của SI_CAP)</t>
  </si>
  <si>
    <t>BRD-09</t>
  </si>
  <si>
    <t>10 · Lương thực nhận cuối cùng (BRD-09 thực chất thuộc lớp xuất/tích hợp dữ liệu, không phải công thức — bị gắn nhầm ở bản gốc)</t>
  </si>
  <si>
    <t>(không có TC nào trong file này — 4 TC trước đây gắn nhầm đã chuyển sang BRD-04; xem TC-TH-077 ở 210726-payroll-testcase-nonformula.xlsx cho đúng phạm vi BRD-09)</t>
  </si>
  <si>
    <t>R20</t>
  </si>
  <si>
    <t>Chuyển phạm vi — xem file nonformula.xlsx</t>
  </si>
  <si>
    <t>BRD-10..19</t>
  </si>
  <si>
    <t>02 · Lương cơ bản &amp; lương thực tế trong tháng</t>
  </si>
  <si>
    <t>Đầy đủ — có thể kiểm tra ngay</t>
  </si>
  <si>
    <t>BRD-11</t>
  </si>
  <si>
    <t>04 · Phụ cấp (ăn ca, đi lại, điện thoại, xăng, nhà ở...)</t>
  </si>
  <si>
    <t>Một phần — đã có hướng công thức (BRD-11 Docs-v5, 2026-07-22), chờ Payroll structure cập nhật biến thật</t>
  </si>
  <si>
    <t>BRD-12</t>
  </si>
  <si>
    <t>Đầy đủ — có thể kiểm tra ngay (TC-CT-027 cũ gắn nhầm BRD-12 đã chuyển sang BRD-10 đúng; TC-CT-112 mới bổ sung 2026-07-20 mới là test case thật của BRD-12)</t>
  </si>
  <si>
    <t>BRD-14</t>
  </si>
  <si>
    <t>TC-CT-022, TC-CT-023, TC-CT-024, TC-CT-025, TC-CT-090, TC-CT-116</t>
  </si>
  <si>
    <t>Một phần — 5/6 TC sẵn sàng, 1 chờ bổ sung (thêm TC-CT-116 2026-07-24: boundary đúng-tại-trần MEAL_NONTAX_CAP, đối xứng với TC-CT-017)</t>
  </si>
  <si>
    <t>BRD-17</t>
  </si>
  <si>
    <t>R3</t>
  </si>
  <si>
    <t>BRD-18/19</t>
  </si>
  <si>
    <t>TC-CT-029, TC-CT-110</t>
  </si>
  <si>
    <t>R13, R22</t>
  </si>
  <si>
    <t>Đầy đủ — có thể kiểm tra ngay (kỳ vọng dựa theo PRD1 v2.1 Approved for Dev; hệ thống hiện tại dự đoán KHÔNG đạt do thiếu mã biến tách theo bộ phận — xem R22)</t>
  </si>
  <si>
    <t>BRD-21</t>
  </si>
  <si>
    <t>05 · Thưởng (Tết, KPI, lương tháng 13...)</t>
  </si>
  <si>
    <t>BRD-22</t>
  </si>
  <si>
    <t>BRD-23</t>
  </si>
  <si>
    <t>BRD-24</t>
  </si>
  <si>
    <t>BRD-25</t>
  </si>
  <si>
    <t>Chưa sẵn sàng — chờ Functional/BA bổ sung yêu cầu</t>
  </si>
  <si>
    <t>BRD-27</t>
  </si>
  <si>
    <t>BRD-30</t>
  </si>
  <si>
    <t>07 · Bảo hiểm xã hội — phần người lao động đóng</t>
  </si>
  <si>
    <t>TC-CT-044, TC-CT-045, TC-CT-046, TC-CT-047, TC-CT-113</t>
  </si>
  <si>
    <t>Đầy đủ — có thể kiểm tra ngay (+ TC-CT-113 mới 2026-07-22 kiểm chứng SI_EMP/HI_EMP/UI_EMP cho Thử việc theo BRD-30 Docs-v5 / R21)</t>
  </si>
  <si>
    <t>BRD-30/31</t>
  </si>
  <si>
    <t>TC-CT-040, TC-CT-041, TC-CT-042, TC-CT-043, TC-CT-106, TC-CT-108</t>
  </si>
  <si>
    <t>R19, R21</t>
  </si>
  <si>
    <t>Một phần — 5/6 TC sẵn sàng, 1 chờ bổ sung</t>
  </si>
  <si>
    <t>BRD-31</t>
  </si>
  <si>
    <t>Docs-v4 mới (chưa BRD ID)</t>
  </si>
  <si>
    <t>08 · Giảm trừ gia cảnh &amp; thu nhập tính thuế, 10 · Lương thực nhận cuối cùng, 11 · Bảo hiểm xã hội &amp; kinh phí công đoàn — phần công ty đóng, 12 · Trích lập ngân sách thưởng (dự phòng, không phải lương)</t>
  </si>
  <si>
    <t>TC-CT-050, TC-CT-051, TC-CT-052, TC-CT-053, TC-CT-054, TC-CT-068, TC-CT-069, TC-CT-070, TC-CT-081, TC-CT-082, TC-CT-083, TC-CT-084, TC-CT-085, TC-CT-086, TC-CT-087, TC-CT-088, TC-CT-089, TC-CT-092, TC-CT-093, TC-CT-103, TC-CT-104, TC-TH-083, TC-CT-146, TC-CT-147</t>
  </si>
  <si>
    <t>R1, R13, R14, R27</t>
  </si>
  <si>
    <t>Một phần — 15/22 TC sẵn sàng, 7 chờ bổ sung | +2 TC mới 04/09/2026: TC-CT-146 (nhiều người phụ thuộc, 4 người, PASS), TC-CT-147 (đăng ký/hủy người phụ thuộc GIỮA kỳ — gap, BLOCK, DEPENDENT_CNT không có cơ chế ngày hiệu lực)</t>
  </si>
  <si>
    <t>BRD-13</t>
  </si>
  <si>
    <t>TC-CT-095, TC-CT-142</t>
  </si>
  <si>
    <t>R17</t>
  </si>
  <si>
    <t>Một phần — đã có hướng cấu hình theo level (BRD-13 Docs-v5, 2026-07-22), chờ Payroll structure bổ sung biến; R17 có hướng fix | +1 TC mới 04/09/2026: TC-CT-142 (tăng Level giữa kỳ — gap, BLOCK, không có mã biến LEVEL/JOB_LEVEL nào trong Payroll structure)</t>
  </si>
  <si>
    <t>BRD-26</t>
  </si>
  <si>
    <t>R13</t>
  </si>
  <si>
    <t>Một phần — khái niệm đã xác nhận qua PRD2 v3.0 §4.4 (Ready for Dev), nhưng chưa có công thức phân bổ cụ thể/ví dụ số như BRD-18/19 — vẫn chờ Functional chốt công thức phân bổ</t>
  </si>
  <si>
    <t>BRD-04 (PC cơm)</t>
  </si>
  <si>
    <t>R23</t>
  </si>
  <si>
    <t>Chưa sẵn sàng — chờ Functional/BA xác nhận trần miễn thuế đúng (730.000 hay 1.200.000)</t>
  </si>
  <si>
    <t>BRD-10</t>
  </si>
  <si>
    <t>Đầy đủ — có thể kiểm tra ngay (TC-CT-027 sửa nhãn 2026-07-20, trước đó bị gắn nhầm BRD-12; nội dung luôn là PC đi lại/TRANSPORT_TAX)</t>
  </si>
  <si>
    <t>BRD-01</t>
  </si>
  <si>
    <t>TC-TH-001, TC-TH-002, TC-PF-001, TC-PF-002</t>
  </si>
  <si>
    <t>Xem chi tiết ở sheet Test Case | +2 TC Performance/Security mới (bổ sung 26/08/2026): TC-PF-001, TC-PF-002</t>
  </si>
  <si>
    <t>BRD-02</t>
  </si>
  <si>
    <t>TC-TH-003, TC-PF-003</t>
  </si>
  <si>
    <t>Xem chi tiết ở sheet Test Case | +1 TC Performance/Security mới (bổ sung 26/08/2026): TC-PF-003</t>
  </si>
  <si>
    <t>BRD-03</t>
  </si>
  <si>
    <t>TC-TH-004, TC-SEC-018</t>
  </si>
  <si>
    <t>Xem chi tiết ở sheet Test Case | +1 TC Performance/Security mới (bổ sung 26/08/2026): TC-SEC-018</t>
  </si>
  <si>
    <t>BRD-06</t>
  </si>
  <si>
    <t>Xem chi tiết ở sheet Test Case</t>
  </si>
  <si>
    <t>BRD-08</t>
  </si>
  <si>
    <t>TC-TH-006, TC-PF-005, TC-SEC-010, TC-SEC-012</t>
  </si>
  <si>
    <t>Xem chi tiết ở sheet Test Case | +3 TC Performance/Security mới (bổ sung 26/08/2026): TC-PF-005, TC-SEC-010, TC-SEC-012</t>
  </si>
  <si>
    <t>BRD-15</t>
  </si>
  <si>
    <t>BRD-16</t>
  </si>
  <si>
    <t>BRD-20</t>
  </si>
  <si>
    <t>BRD-28</t>
  </si>
  <si>
    <t>BRD-29</t>
  </si>
  <si>
    <t>BRD-32</t>
  </si>
  <si>
    <t>TC-TH-012, TC-PF-006, TC-PF-007, TC-PF-020, TC-SEC-014</t>
  </si>
  <si>
    <t>Xem chi tiết ở sheet Test Case | +4 TC Performance/Security mới (bổ sung 26/08/2026): TC-PF-006, TC-PF-007, TC-PF-020, TC-SEC-014</t>
  </si>
  <si>
    <t>BRD-33</t>
  </si>
  <si>
    <t>BRD-34</t>
  </si>
  <si>
    <t>TC-TH-014, TC-PF-007, TC-PF-020</t>
  </si>
  <si>
    <t>Xem chi tiết ở sheet Test Case | +2 TC Performance/Security mới (bổ sung 26/08/2026): TC-PF-007, TC-PF-020</t>
  </si>
  <si>
    <t>BRD-35</t>
  </si>
  <si>
    <t>TC-TH-015, TC-SEC-014</t>
  </si>
  <si>
    <t>Xem chi tiết ở sheet Test Case | +1 TC Performance/Security mới (bổ sung 26/08/2026): TC-SEC-014</t>
  </si>
  <si>
    <t>BRD-36</t>
  </si>
  <si>
    <t>BRD-37</t>
  </si>
  <si>
    <t>TC-TH-017, TC-TH-078, TC-TH-079</t>
  </si>
  <si>
    <t>Xem chi tiết ở sheet Test Case — BRD-37 Docs-v5 (2026-07-22) thêm scope truy thu kỳ sau + versioning sau khóa (TC-TH-078/075, chưa build)</t>
  </si>
  <si>
    <t>BRD-38</t>
  </si>
  <si>
    <t>TC-TH-018, TC-PF-019, TC-SEC-025</t>
  </si>
  <si>
    <t>Xem chi tiết ở sheet Test Case | +2 TC Performance/Security mới (bổ sung 26/08/2026): TC-PF-019, TC-SEC-025</t>
  </si>
  <si>
    <t>BRD-39</t>
  </si>
  <si>
    <t>BRD-40</t>
  </si>
  <si>
    <t>Out of scope — descoped Phase này (BRD-40 Docs-v5, 2026-07-22: '=&gt; bỏ trong phase này')</t>
  </si>
  <si>
    <t>BRD-41</t>
  </si>
  <si>
    <t>TC-TH-021, TC-SEC-001, TC-SEC-002, TC-SEC-003, TC-SEC-004, TC-SEC-023</t>
  </si>
  <si>
    <t>Xem chi tiết ở sheet Test Case | +5 TC Performance/Security mới (bổ sung 26/08/2026): TC-SEC-001, TC-SEC-002, TC-SEC-003, TC-SEC-004, TC-SEC-023</t>
  </si>
  <si>
    <t>BRD-42</t>
  </si>
  <si>
    <t>TC-TH-022, TC-SEC-005, TC-SEC-006, TC-SEC-007, TC-SEC-020, TC-SEC-021, TC-SEC-022</t>
  </si>
  <si>
    <t>Xem chi tiết ở sheet Test Case | +6 TC Performance/Security mới (bổ sung 26/08/2026): TC-SEC-005, TC-SEC-006, TC-SEC-007, TC-SEC-020, TC-SEC-021, TC-SEC-022</t>
  </si>
  <si>
    <t>BRD-43</t>
  </si>
  <si>
    <t>TC-TH-023, TC-SEC-008, TC-SEC-009</t>
  </si>
  <si>
    <t>Xem chi tiết ở sheet Test Case | +2 TC Performance/Security mới (bổ sung 26/08/2026): TC-SEC-008, TC-SEC-009</t>
  </si>
  <si>
    <t>BRD-44</t>
  </si>
  <si>
    <t>TC-TH-024, TC-SEC-010, TC-SEC-011, TC-SEC-012</t>
  </si>
  <si>
    <t>Xem chi tiết ở sheet Test Case | +3 TC Performance/Security mới (bổ sung 26/08/2026): TC-SEC-010, TC-SEC-011, TC-SEC-012</t>
  </si>
  <si>
    <t>BRD-45</t>
  </si>
  <si>
    <t>TC-TH-025, TC-SEC-013, TC-SEC-014</t>
  </si>
  <si>
    <t>Xem chi tiết ở sheet Test Case | +2 TC Performance/Security mới (bổ sung 26/08/2026): TC-SEC-013, TC-SEC-014</t>
  </si>
  <si>
    <t>BRD-46</t>
  </si>
  <si>
    <t>TC-TH-026, TC-AU-001, TC-AU-002, TC-AU-003, TC-AU-004, TC-AU-005, TC-AU-006, TC-AU-007, TC-AU-008, TC-AU-009, TC-AU-010, TC-PF-011, TC-SEC-015, TC-SEC-016, TC-SEC-017, TC-SEC-018, TC-SEC-021</t>
  </si>
  <si>
    <t>Xem chi tiết ở sheet Test Case | +6 TC Performance/Security mới (bổ sung 26/08/2026): TC-PF-011, TC-SEC-015, TC-SEC-016, TC-SEC-017, TC-SEC-018, TC-SEC-021</t>
  </si>
  <si>
    <t>BRD-47</t>
  </si>
  <si>
    <t>TC-TH-027, TC-SEC-007</t>
  </si>
  <si>
    <t>Xem chi tiết ở sheet Test Case | +1 TC Performance/Security mới (bổ sung 26/08/2026): TC-SEC-007</t>
  </si>
  <si>
    <t>BRD-48</t>
  </si>
  <si>
    <t>TC-TH-028, TC-PF-008, TC-SEC-019</t>
  </si>
  <si>
    <t>Xem chi tiết ở sheet Test Case | +2 TC Performance/Security mới (bổ sung 26/08/2026): TC-PF-008, TC-SEC-019</t>
  </si>
  <si>
    <t>BRD-49</t>
  </si>
  <si>
    <t>TC-TH-029, TC-TH-080</t>
  </si>
  <si>
    <t>Xem chi tiết ở sheet Test Case — BRD-49 Docs-v5 xác nhận scope rule engine đầy đủ, TC-TH-080 scaffold chờ build</t>
  </si>
  <si>
    <t>BRD-50</t>
  </si>
  <si>
    <t>TC-TH-030, TC-TH-081</t>
  </si>
  <si>
    <t>Xem chi tiết ở sheet Test Case — BRD-50 Docs-v5 xác nhận scope rule engine, TC-TH-081 scaffold chờ build</t>
  </si>
  <si>
    <t>BRD-51</t>
  </si>
  <si>
    <t>TC-TH-031, TC-TH-032</t>
  </si>
  <si>
    <t>BRD-53</t>
  </si>
  <si>
    <t>BRD-54</t>
  </si>
  <si>
    <t>BRD-55</t>
  </si>
  <si>
    <t>BRD-56</t>
  </si>
  <si>
    <t>BRD-57</t>
  </si>
  <si>
    <t>BRD-58</t>
  </si>
  <si>
    <t>BRD-59</t>
  </si>
  <si>
    <t>TC-TH-039, TC-TH-082</t>
  </si>
  <si>
    <t>Xem chi tiết ở sheet Test Case — BRD-59 Docs-v5 làm rõ luồng override dialog, TC-TH-082 mới</t>
  </si>
  <si>
    <t>BRD-60</t>
  </si>
  <si>
    <t>BRD-61</t>
  </si>
  <si>
    <t>BRD-62</t>
  </si>
  <si>
    <t>BRD-63</t>
  </si>
  <si>
    <t>BRD-64</t>
  </si>
  <si>
    <t>BRD-65</t>
  </si>
  <si>
    <t>BRD-66</t>
  </si>
  <si>
    <t>BRD-67</t>
  </si>
  <si>
    <t>BRD-68</t>
  </si>
  <si>
    <t>BRD-69</t>
  </si>
  <si>
    <t>BRD-70</t>
  </si>
  <si>
    <t>BRD-71</t>
  </si>
  <si>
    <t>TC-TH-067, TC-PF-012</t>
  </si>
  <si>
    <t>Xem chi tiết ở sheet Test Case | +1 TC Performance/Security mới (bổ sung 26/08/2026): TC-PF-012</t>
  </si>
  <si>
    <t>BRD-72</t>
  </si>
  <si>
    <t>BRD-73</t>
  </si>
  <si>
    <t>BRD-74</t>
  </si>
  <si>
    <t>TC-TH-073, TC-PF-017, TC-PF-018</t>
  </si>
  <si>
    <t>Xem chi tiết ở sheet Test Case | +2 TC Performance/Security mới (bổ sung 26/08/2026): TC-PF-017, TC-PF-018</t>
  </si>
  <si>
    <t>BRD-75</t>
  </si>
  <si>
    <t>BRD-76</t>
  </si>
  <si>
    <t>BRD-77</t>
  </si>
  <si>
    <t>BRD-78</t>
  </si>
  <si>
    <t>TC-TH-070, TC-PF-014</t>
  </si>
  <si>
    <t>Xem chi tiết ở sheet Test Case | +1 TC Performance/Security mới (bổ sung 26/08/2026): TC-PF-014</t>
  </si>
  <si>
    <t>BRD-79</t>
  </si>
  <si>
    <t>BRD-80</t>
  </si>
  <si>
    <t>TC-TH-076, TC-PF-013</t>
  </si>
  <si>
    <t>Xem chi tiết ở sheet Test Case | +1 TC Performance/Security mới (bổ sung 26/08/2026): TC-PF-013</t>
  </si>
  <si>
    <t>BRD-81</t>
  </si>
  <si>
    <t>BRD-82</t>
  </si>
  <si>
    <t>BRD-83</t>
  </si>
  <si>
    <t>BRD-84</t>
  </si>
  <si>
    <t>BRD-85</t>
  </si>
  <si>
    <t>BRD-86</t>
  </si>
  <si>
    <t>BRD-87</t>
  </si>
  <si>
    <t>TC-TH-056, TC-PF-015</t>
  </si>
  <si>
    <t>Xem chi tiết ở sheet Test Case | +1 TC Performance/Security mới (bổ sung 26/08/2026): TC-PF-015</t>
  </si>
  <si>
    <t>BRD-88</t>
  </si>
  <si>
    <t>BRD-89</t>
  </si>
  <si>
    <t>BRD-90</t>
  </si>
  <si>
    <t>BRD-91</t>
  </si>
  <si>
    <t>BRD-92</t>
  </si>
  <si>
    <t>BRD-93</t>
  </si>
  <si>
    <t>BRD-94</t>
  </si>
  <si>
    <t>TC-TH-072, TC-PF-016</t>
  </si>
  <si>
    <t>Xem chi tiết ở sheet Test Case | +1 TC Performance/Security mới (bổ sung 26/08/2026): TC-PF-016</t>
  </si>
  <si>
    <t>BRD-95</t>
  </si>
  <si>
    <t>TC-TH-062, TC-PF-017</t>
  </si>
  <si>
    <t>Xem chi tiết ở sheet Test Case | +1 TC Performance/Security mới (bổ sung 26/08/2026): TC-PF-017</t>
  </si>
  <si>
    <t>BRD-96</t>
  </si>
  <si>
    <t>TC-TH-063, TC-PF-018</t>
  </si>
  <si>
    <t>Xem chi tiết ở sheet Test Case | +1 TC Performance/Security mới (bổ sung 26/08/2026): TC-PF-018</t>
  </si>
  <si>
    <t>Xem chi tiết ở sheet Test Case — test case dạng đối chiếu 4 sub-luồng (68,69,77,95,96)</t>
  </si>
  <si>
    <t>Nội dung mới 2026-07-27 (edge-case review + config-verify) — chưa có BRD ID chính thức</t>
  </si>
  <si>
    <t>02,04,05,07,09,14,17,19 · tổ hợp sự kiện, mùa vụ cuối năm, tử tuất/mất việc làm/tai nạn lao động, đa công trình, config-illusion</t>
  </si>
  <si>
    <t>TC-TH-084, TC-TH-085, TC-TH-086, TC-TH-087, TC-TH-088, TC-TH-089, TC-TH-090, TC-TH-091, TC-TH-092, TC-TH-093, TC-TH-094</t>
  </si>
  <si>
    <t>(đề xuất R28)</t>
  </si>
  <si>
    <t>Chờ dựng/Chờ bổ sung BRD — 11 TC mới, xem 270726-testcase-payroll-cb-staff-edgecase-review.md + 270726-testcase-payroll-qem-review-full.md</t>
  </si>
  <si>
    <t>Nội dung mới 2026-07-27 (bảo vệ dữ liệu cá nhân — Nghị định 13/2023/NĐ-CP) — chưa có BRD ID chính thức</t>
  </si>
  <si>
    <t>16 · Phân quyền &amp; bảo mật, 17 · Master data &amp; tuân thủ</t>
  </si>
  <si>
    <t>TC-TH-095, TC-TH-096, TC-TH-097, TC-TH-098</t>
  </si>
  <si>
    <t>(gap đã nêu ở HR-acceptance review, round 4)</t>
  </si>
  <si>
    <t>Chờ dựng — 4 TC mới, xem 270726-testcase-payroll-100pct-coverage-plan.md</t>
  </si>
  <si>
    <t>Nội dung mới 2026-07-27 (Tăng ca/OT — Excel cols 53-54) — chưa có BRD ID chính thức</t>
  </si>
  <si>
    <t>06 · Tổng thu nhập &amp; điều chỉnh lương trong tháng</t>
  </si>
  <si>
    <t>TC-CT-118, TC-CT-119</t>
  </si>
  <si>
    <t>(gap mới — OT không tự động tính, xem 270726-testcase-payroll-ot-gap-round7.md)</t>
  </si>
  <si>
    <t>TC-CT-118 Chuẩn / TC-CT-119 Chờ dựng — chờ Functional xác nhận phạm vi tự động hoá OT</t>
  </si>
  <si>
    <t>Nội dung mới 2026-07-29 (đối chiếu 3 vòng Docs-v10, 28 góc nhìn song song) — chưa có BRD ID chính thức cho TC-CT-120</t>
  </si>
  <si>
    <t>05 · Thưởng — chiều dữ liệu Payroll/Workday, khoản thưởng chưa có công thức</t>
  </si>
  <si>
    <t>TC-CT-120, TC-CT-121, TC-CT-117, TC-CT-122, TC-CT-123, TC-CT-124</t>
  </si>
  <si>
    <t>R30, R31, R32, R33, R34, R35, R36, R37, R38 (+ cập nhật R12, R15, R16, R21, R28, R46, R47)</t>
  </si>
  <si>
    <t>Chờ dựng — cả 2 TC đều chờ xác nhận Functional/PO/BA, xem 290726-doi-chieu-cau-hoi-docs-v10-vong3.md</t>
  </si>
  <si>
    <t>Nội dung mới 2026-07-31 (review 10-lens + QEM, xem 310726-review-testcase-payroll-10-lens-qem.md) — chưa có BRD ID chính thức</t>
  </si>
  <si>
    <t>02 · Lương cơ bản, 07 · BHXH, 09 · Thuế TNCN, 11 · Bảo hiểm &amp; KPCĐ, 13 · Tích hợp dữ liệu, 16 · Phân quyền &amp; bảo mật</t>
  </si>
  <si>
    <t>TC-CT-125, TC-CT-126, TC-CT-127, TC-CT-128, TC-CT-129, TC-CT-130, TC-CT-131, TC-TH-099, TC-TH-100, TC-TH-101, TC-TH-102</t>
  </si>
  <si>
    <t>R1, R48, R49, R50, R54, R55, R56, R57, R59</t>
  </si>
  <si>
    <t>Chờ dựng — 8/11 TC là Scaffold chờ Functional/Pháp chế/Workday xác nhận (R48/49/50/54/55/56/57/59); 3/11 (TC-CT-125/126/127) là gap-coverage công thức, TC-CT-127 cũng Scaffold vì thiếu biến nền tảng</t>
  </si>
  <si>
    <t>Nội dung mới 2026-08-02 (bổ sung 020826-brd-payroll-tong-hop.md mục 3 + 4 issue zero-coverage/role-scope 2026-07-31) — BRD-81/BRD-94 cho 2 TC chấm công, còn lại chưa có BRD ID chính thức (theo issue, không theo BRD tracker)</t>
  </si>
  <si>
    <t>01 · Chấm công &amp; ngày công hưởng lương, 16 · Phân quyền &amp; bảo mật, 18 · Thao tác người dùng (UI)</t>
  </si>
  <si>
    <t>TC-TH-103, TC-TH-104, TC-TH-105, TC-TH-106, TC-TH-107, TC-TH-108, TC-TH-109, TC-TH-110</t>
  </si>
  <si>
    <t>(không có Risk Register ref trực tiếp — nguồn là BRD tổng hợp + issue zero-coverage/role-scope, không phải Risk Register)</t>
  </si>
  <si>
    <t>Chờ dựng — cả 8 TC đều Scaffold, chờ Dev/PO/BA xác nhận đặc tả UI/automation (2 TC chấm công BRD-81/94; 3 TC feature 0% coverage Delete Column/FormulaImpactPanel/SalaryComponentModal; 3 TC role-scope route mới) trước khi viết Test Steps/Expected Result cụ thể</t>
  </si>
  <si>
    <t>Nội dung mới 2026-08-15 (rà ngược code payroll-frontend tìm route không có TC) — chưa có BRD ID chính thức</t>
  </si>
  <si>
    <t>14 · Quy trình phê duyệt — 2 route thật (/v1/approvals, /v1/settings/approval-rules) có trong layout.tsx/role-gate nhưng KHÔNG có trong routes.ts/routes-permissions.md và 0 TC nào nhắc tới trước 15/08</t>
  </si>
  <si>
    <t>TC-TH-111, TC-TH-112</t>
  </si>
  <si>
    <t>Mới thêm 15/08 — Chờ dựng, cần chạy thật để đóng</t>
  </si>
  <si>
    <t>Nội dung mới 04/09/2026 (đối chiếu Function List — Payroll CTD - Plan (1).xlsx) — 3 sheet TC mới, chưa có BRD ID gộp chung (trải nhiều BRD khác nhau)</t>
  </si>
  <si>
    <t>Menu UI/Báo cáo/Cấu hình thực tế của hệ thống (89 function) — không map 1-1 vào 1 nhóm nghiệp vụ cố định</t>
  </si>
  <si>
    <t>Sheet 'TC - UI Cơ bản &amp; Thao tác': TC-UI-001..009 (BRD-47/49/50/51, BRD-64, BRD-05). Sheet 'TC - Báo cáo (Reports)': TC-RP-001..015 (BRD-69,75,76,81,82,83,84,85,86,87,88,89,90,91,92,93). Sheet 'TC - Cấu hình &amp; Phân quyền': TC-CFG-001..009 (BRD-05,07,42,46,50,51, không BRD cho Kỳ lương/Hồi tố lương/Loại ngày nghỉ)</t>
  </si>
  <si>
    <t>Chờ dựng — toàn bộ 33 TC đều Status='Chưa chạy', vì Function List xác nhận nhiều function (Thêm cột, 15 report, CRUD Cấu hình, Phân quyền chi tiết) trước đó CHƯA có TC nào thật sự test (chỉ bị nhắc tên phụ hoặc trùng BRD với TC khác không cùng phạm vi). Ưu tiên chạy sớm: TC-CFG-002 (Bảo hiểm &amp; Thuế, P0/Critical), TC-CFG-007 (Gán quyền NV, P0/Critical), TC-RP-009 (BHXH tổng hợp, P1, chưa từng được nhắc tên ở đâu)</t>
  </si>
  <si>
    <t>Chưa có BRD ID chính thức (Bảng công/Phụ cấp)</t>
  </si>
  <si>
    <t>01 · Chấm công &amp; ngày công hưởng lương, 05 · Phụ cấp các loại</t>
  </si>
  <si>
    <t>TC-BC-001, TC-BC-002, TC-BC-003, TC-BC-004, TC-BC-005, TC-BC-006, TC-BC-007, TC-BC-008, TC-BC-009, TC-BC-010, TC-BC-011, TC-BC-012, TC-BC-013, TC-BC-014, TC-BC-015, TC-BC-016, TC-BC-017, TC-BC-018, TC-BC-019, TC-BC-020, TC-BC-021, TC-BC-022, TC-BC-023, TC-BC-024, TC-BC-025, TC-BC-026, TC-BC-027, TC-BC-028, TC-BC-029, TC-BC-030, TC-BC-031, TC-BC-032, TC-BC-033, TC-BC-034, TC-BC-035, TC-BC-036, TC-BC-037, TC-BC-038, TC-BC-039, TC-BC-040, TC-BC-041, TC-BC-042, TC-BC-043, TC-BC-044, TC-BC-045, TC-BC-046, TC-BC-047, TC-BC-048, TC-BC-049</t>
  </si>
  <si>
    <t>Mới bổ sung 07/09/2026 từ file 'Testcase-bangcong-phucap (7).xlsx' (49 TC, đã đối chiếu persona với dữ liệu thật STG kỳ 09/2026). 45/49 sẵn sàng (persona xác nhận tồn tại). 4/49 BLOCK do persona không còn trên STG: TC-BC-004, TC-BC-009, TC-BC-027, TC-BC-028 — cần đổi persona hoặc Nhân sự xác nhận lại. Chưa map BRD ID chính thức — cần Functional/BA xác nhận.</t>
  </si>
  <si>
    <t>#</t>
  </si>
  <si>
    <t>Step</t>
  </si>
  <si>
    <t>Step detail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</si>
</sst>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font>
      <sz val="11"/>
      <color theme="1"/>
      <name val="Calibri"/>
      <family val="2"/>
      <scheme val="minor"/>
    </font>
    <font>
      <b/>
      <sz val="11"/>
      <name val="Calibri"/>
    </font>
    <font>
      <b/>
      <sz val="11"/>
      <name val="Calibri"/>
      <family val="2"/>
    </font>
    <font>
      <sz val="11"/>
      <color rgb="FF000000"/>
      <name val="Calibri"/>
      <family val="2"/>
    </font>
    <font>
      <b/>
      <sz val="14"/>
      <name val="Calibri"/>
    </font>
    <font>
      <b/>
      <sz val="11"/>
      <color rgb="FFFFFFFF"/>
      <name val="Calibri"/>
    </font>
    <font>
      <b/>
      <sz val="10"/>
      <color rgb="FFFFFFFF"/>
      <name val="Calibri"/>
    </font>
    <font>
      <i/>
      <sz val="9"/>
      <color rgb="FF7F7F7F"/>
      <name val="Calibri"/>
    </font>
    <font>
      <b/>
      <sz val="11"/>
      <color rgb="FF1F3864"/>
      <name val="Calibri"/>
    </font>
    <font>
      <sz val="10"/>
      <name val="Calibri"/>
    </font>
    <font>
      <b/>
      <sz val="9"/>
      <color rgb="FFFFFFFF"/>
      <name val="Calibri"/>
      <family val="2"/>
    </font>
    <font>
      <sz val="9"/>
      <name val="Calibri"/>
      <family val="2"/>
    </font>
    <font>
      <sz val="9"/>
      <color rgb="FF7F7F7F"/>
      <name val="Calibri"/>
    </font>
    <font>
      <b/>
      <sz val="10"/>
      <color rgb="FF1F3864"/>
      <name val="Calibri"/>
    </font>
  </fonts>
  <fills count="7">
    <fill>
      <patternFill patternType="none"/>
    </fill>
    <fill>
      <patternFill patternType="gray125"/>
    </fill>
    <fill>
      <patternFill patternType="solid">
        <fgColor rgb="FF4472C4"/>
      </patternFill>
    </fill>
    <fill>
      <patternFill patternType="solid">
        <fgColor rgb="FF305496"/>
      </patternFill>
    </fill>
    <fill>
      <patternFill patternType="solid">
        <fgColor rgb="FFD9E1F2"/>
      </patternFill>
    </fill>
    <fill>
      <patternFill patternType="solid">
        <fgColor rgb="FF1F3864"/>
      </patternFill>
    </fill>
    <fill>
      <patternFill patternType="solid">
        <fgColor rgb="FFFFFF00"/>
        <bgColor indexed="64"/>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s>
  <cellStyleXfs count="1">
    <xf numFmtId="0" fontId="0" fillId="0" borderId="0"/>
  </cellStyleXfs>
  <cellXfs count="31">
    <xf numFmtId="0" fontId="0" fillId="0" borderId="0" xfId="0"/>
    <xf numFmtId="0" fontId="0" fillId="0" borderId="0" xfId="0" applyAlignment="1">
      <alignment vertical="top" wrapText="1"/>
    </xf>
    <xf numFmtId="0" fontId="2" fillId="0" borderId="0" xfId="0" applyFont="1" applyAlignment="1">
      <alignment wrapText="1"/>
    </xf>
    <xf numFmtId="0" fontId="3" fillId="0" borderId="0" xfId="0" applyFont="1" applyAlignment="1">
      <alignment wrapText="1"/>
    </xf>
    <xf numFmtId="0" fontId="3" fillId="0" borderId="0" xfId="0" applyFont="1"/>
    <xf numFmtId="0" fontId="4" fillId="0" borderId="0" xfId="0" applyFont="1"/>
    <xf numFmtId="0" fontId="5" fillId="2" borderId="0" xfId="0" applyFont="1" applyFill="1"/>
    <xf numFmtId="0" fontId="6" fillId="3" borderId="1" xfId="0" applyFont="1" applyFill="1" applyBorder="1" applyAlignment="1">
      <alignment horizontal="center" vertical="top" wrapText="1"/>
    </xf>
    <xf numFmtId="0" fontId="9" fillId="0" borderId="1" xfId="0" applyFont="1" applyBorder="1" applyAlignment="1">
      <alignment horizontal="center" vertical="top" wrapText="1"/>
    </xf>
    <xf numFmtId="0" fontId="9" fillId="0" borderId="1" xfId="0" applyFont="1" applyBorder="1" applyAlignment="1">
      <alignment vertical="top" wrapText="1"/>
    </xf>
    <xf numFmtId="0" fontId="1" fillId="0" borderId="0" xfId="0" applyFont="1"/>
    <xf numFmtId="0" fontId="10" fillId="5" borderId="1" xfId="0" applyFont="1" applyFill="1" applyBorder="1"/>
    <xf numFmtId="0" fontId="11" fillId="6" borderId="1" xfId="0" quotePrefix="1" applyFont="1" applyFill="1" applyBorder="1" applyAlignment="1">
      <alignment vertical="top" wrapText="1"/>
    </xf>
    <xf numFmtId="0" fontId="11" fillId="6" borderId="1" xfId="0" applyFont="1" applyFill="1" applyBorder="1" applyAlignment="1">
      <alignment vertical="top" wrapText="1"/>
    </xf>
    <xf numFmtId="43" fontId="0" fillId="0" borderId="0" xfId="0" applyNumberFormat="1"/>
    <xf numFmtId="164" fontId="0" fillId="0" borderId="0" xfId="0" applyNumberFormat="1"/>
    <xf numFmtId="9" fontId="0" fillId="0" borderId="0" xfId="0" applyNumberFormat="1"/>
    <xf numFmtId="0" fontId="6" fillId="3" borderId="4" xfId="0" applyFont="1" applyFill="1" applyBorder="1" applyAlignment="1">
      <alignment vertical="top" wrapText="1"/>
    </xf>
    <xf numFmtId="0" fontId="12" fillId="0" borderId="0" xfId="0" applyFont="1" applyAlignment="1">
      <alignment vertical="top" wrapText="1"/>
    </xf>
    <xf numFmtId="0" fontId="13" fillId="4" borderId="4" xfId="0" applyFont="1" applyFill="1" applyBorder="1" applyAlignment="1">
      <alignment vertical="top" wrapText="1"/>
    </xf>
    <xf numFmtId="0" fontId="9" fillId="0" borderId="4" xfId="0" applyFont="1" applyBorder="1" applyAlignment="1">
      <alignment vertical="top" wrapText="1"/>
    </xf>
    <xf numFmtId="0" fontId="5" fillId="0" borderId="0" xfId="0" applyFont="1"/>
    <xf numFmtId="0" fontId="6" fillId="0" borderId="0" xfId="0" applyFont="1" applyAlignment="1">
      <alignment vertical="top" wrapText="1"/>
    </xf>
    <xf numFmtId="0" fontId="6" fillId="0" borderId="4" xfId="0" applyFont="1" applyBorder="1" applyAlignment="1">
      <alignment vertical="top" wrapText="1"/>
    </xf>
    <xf numFmtId="0" fontId="0" fillId="0" borderId="0" xfId="0" applyAlignment="1">
      <alignment vertical="top" wrapText="1"/>
    </xf>
    <xf numFmtId="0" fontId="8" fillId="4" borderId="1" xfId="0" applyFont="1" applyFill="1" applyBorder="1" applyAlignment="1">
      <alignment vertical="center"/>
    </xf>
    <xf numFmtId="0" fontId="7" fillId="0" borderId="0" xfId="0" applyFont="1" applyAlignment="1">
      <alignment vertical="top" wrapText="1"/>
    </xf>
    <xf numFmtId="0" fontId="0" fillId="0" borderId="0" xfId="0" applyAlignment="1"/>
    <xf numFmtId="0" fontId="0" fillId="0" borderId="2" xfId="0" applyBorder="1" applyAlignment="1"/>
    <xf numFmtId="0" fontId="0" fillId="0" borderId="3" xfId="0" applyBorder="1" applyAlignment="1"/>
    <xf numFmtId="0" fontId="8" fillId="4" borderId="1" xfId="0" applyFont="1" applyFill="1"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workbookViewId="0"/>
  </sheetViews>
  <sheetFormatPr defaultRowHeight="15"/>
  <cols>
    <col min="1" max="1" width="34" customWidth="1"/>
    <col min="2" max="2" width="14" customWidth="1"/>
    <col min="3" max="3" width="90" customWidth="1"/>
  </cols>
  <sheetData>
    <row r="1" spans="1:6">
      <c r="A1" s="5" t="s">
        <v>0</v>
      </c>
    </row>
    <row r="2" spans="1:6" ht="39.950000000000003" customHeight="1">
      <c r="A2" s="24" t="s">
        <v>1</v>
      </c>
      <c r="B2" s="27"/>
      <c r="C2" s="27"/>
      <c r="D2" s="27"/>
      <c r="E2" s="27"/>
      <c r="F2" s="27"/>
    </row>
    <row r="4" spans="1:6">
      <c r="A4" s="6" t="s">
        <v>2</v>
      </c>
      <c r="B4" s="6" t="s">
        <v>3</v>
      </c>
      <c r="C4" s="6" t="s">
        <v>4</v>
      </c>
    </row>
    <row r="5" spans="1:6" ht="54.95" customHeight="1">
      <c r="A5" s="1" t="s">
        <v>5</v>
      </c>
      <c r="B5" s="1" t="s">
        <v>6</v>
      </c>
      <c r="C5" s="1" t="s">
        <v>7</v>
      </c>
    </row>
    <row r="6" spans="1:6" ht="54.95" customHeight="1">
      <c r="A6" s="1" t="s">
        <v>8</v>
      </c>
      <c r="B6" s="1" t="s">
        <v>9</v>
      </c>
      <c r="C6" s="1" t="s">
        <v>10</v>
      </c>
    </row>
    <row r="7" spans="1:6" ht="54.95" customHeight="1">
      <c r="A7" s="1" t="s">
        <v>11</v>
      </c>
      <c r="B7" s="1" t="s">
        <v>6</v>
      </c>
      <c r="C7" s="1" t="s">
        <v>12</v>
      </c>
    </row>
    <row r="8" spans="1:6" ht="54.95" customHeight="1">
      <c r="A8" s="1" t="s">
        <v>13</v>
      </c>
      <c r="B8" s="1" t="s">
        <v>14</v>
      </c>
      <c r="C8" s="1" t="s">
        <v>15</v>
      </c>
    </row>
    <row r="9" spans="1:6" ht="54.95" customHeight="1">
      <c r="A9" s="1" t="s">
        <v>16</v>
      </c>
      <c r="B9" s="1" t="s">
        <v>17</v>
      </c>
      <c r="C9" s="1" t="s">
        <v>18</v>
      </c>
    </row>
    <row r="10" spans="1:6" ht="54.95" customHeight="1">
      <c r="A10" s="1" t="s">
        <v>19</v>
      </c>
      <c r="B10" s="1" t="s">
        <v>20</v>
      </c>
      <c r="C10" s="1" t="s">
        <v>21</v>
      </c>
    </row>
    <row r="11" spans="1:6" ht="54.95" customHeight="1">
      <c r="A11" s="1" t="s">
        <v>22</v>
      </c>
      <c r="B11" s="1" t="s">
        <v>23</v>
      </c>
      <c r="C11" s="1" t="s">
        <v>24</v>
      </c>
    </row>
    <row r="12" spans="1:6" ht="54.95" customHeight="1">
      <c r="A12" s="1" t="s">
        <v>25</v>
      </c>
      <c r="B12" s="1" t="s">
        <v>26</v>
      </c>
      <c r="C12" s="1" t="s">
        <v>27</v>
      </c>
    </row>
    <row r="14" spans="1:6" ht="39.950000000000003" customHeight="1">
      <c r="A14" s="10" t="s">
        <v>28</v>
      </c>
      <c r="B14" s="24" t="s">
        <v>29</v>
      </c>
      <c r="C14" s="27"/>
    </row>
    <row r="16" spans="1:6">
      <c r="A16" t="s">
        <v>30</v>
      </c>
    </row>
    <row r="17" spans="1:3">
      <c r="A17" s="1" t="s">
        <v>31</v>
      </c>
      <c r="B17" s="1">
        <v>5</v>
      </c>
      <c r="C17" s="1" t="s">
        <v>32</v>
      </c>
    </row>
    <row r="18" spans="1:3">
      <c r="A18" s="1" t="s">
        <v>33</v>
      </c>
      <c r="B18" s="1">
        <v>11</v>
      </c>
      <c r="C18" s="1" t="s">
        <v>34</v>
      </c>
    </row>
    <row r="20" spans="1:3">
      <c r="A20" s="1" t="s">
        <v>35</v>
      </c>
      <c r="B20" s="1">
        <v>33</v>
      </c>
      <c r="C20" s="1" t="s">
        <v>36</v>
      </c>
    </row>
    <row r="22" spans="1:3">
      <c r="A22" s="21" t="s">
        <v>37</v>
      </c>
      <c r="B22" s="21">
        <v>49</v>
      </c>
      <c r="C22" s="21" t="s">
        <v>38</v>
      </c>
    </row>
    <row r="24" spans="1:3">
      <c r="A24" s="21" t="s">
        <v>39</v>
      </c>
      <c r="B24" s="21">
        <v>350</v>
      </c>
      <c r="C24" s="21" t="s">
        <v>40</v>
      </c>
    </row>
    <row r="26" spans="1:3">
      <c r="A26" s="21" t="s">
        <v>41</v>
      </c>
      <c r="B26" s="21">
        <v>302</v>
      </c>
      <c r="C26" s="21" t="s">
        <v>42</v>
      </c>
    </row>
    <row r="28" spans="1:3">
      <c r="A28" s="21" t="s">
        <v>43</v>
      </c>
      <c r="B28" s="21">
        <v>147</v>
      </c>
      <c r="C28" s="21" t="s">
        <v>44</v>
      </c>
    </row>
  </sheetData>
  <mergeCells count="2">
    <mergeCell ref="A2:F2"/>
    <mergeCell ref="B14:C1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P163"/>
  <sheetViews>
    <sheetView workbookViewId="0">
      <pane ySplit="3" topLeftCell="A4" activePane="bottomLeft" state="frozen"/>
      <selection pane="bottomLeft" activeCell="K6" sqref="K6"/>
    </sheetView>
  </sheetViews>
  <sheetFormatPr defaultRowHeight="15"/>
  <cols>
    <col min="1" max="1" width="12" customWidth="1"/>
    <col min="2" max="2" width="42" customWidth="1"/>
    <col min="3" max="3" width="26" customWidth="1"/>
    <col min="4" max="5" width="34" customWidth="1"/>
    <col min="6" max="6" width="10" customWidth="1"/>
    <col min="7" max="7" width="14" customWidth="1"/>
    <col min="8" max="8" width="10" customWidth="1"/>
    <col min="9" max="9" width="12" customWidth="1"/>
    <col min="10" max="10" width="9" customWidth="1"/>
    <col min="11" max="11" width="10" customWidth="1"/>
    <col min="12" max="12" width="26.5703125" customWidth="1"/>
    <col min="13" max="13" width="14" customWidth="1"/>
    <col min="14" max="14" width="46" customWidth="1"/>
    <col min="15" max="15" width="16" customWidth="1"/>
    <col min="16" max="16" width="46" customWidth="1"/>
  </cols>
  <sheetData>
    <row r="2" spans="1:16" ht="27.95" customHeight="1">
      <c r="A2" s="7" t="s">
        <v>45</v>
      </c>
      <c r="B2" s="7" t="s">
        <v>46</v>
      </c>
      <c r="C2" s="7" t="s">
        <v>47</v>
      </c>
      <c r="D2" s="7" t="s">
        <v>48</v>
      </c>
      <c r="E2" s="7" t="s">
        <v>49</v>
      </c>
      <c r="F2" s="7" t="s">
        <v>50</v>
      </c>
      <c r="G2" s="7" t="s">
        <v>51</v>
      </c>
      <c r="H2" s="7" t="s">
        <v>52</v>
      </c>
      <c r="I2" s="7" t="s">
        <v>53</v>
      </c>
      <c r="J2" s="7" t="s">
        <v>54</v>
      </c>
      <c r="K2" s="7" t="s">
        <v>55</v>
      </c>
      <c r="L2" s="7" t="s">
        <v>56</v>
      </c>
      <c r="M2" s="17" t="s">
        <v>57</v>
      </c>
      <c r="N2" s="17" t="s">
        <v>58</v>
      </c>
      <c r="O2" s="22"/>
      <c r="P2" s="22"/>
    </row>
    <row r="3" spans="1:16" ht="42" customHeight="1">
      <c r="A3" s="26" t="s">
        <v>59</v>
      </c>
      <c r="B3" s="27"/>
      <c r="C3" s="27"/>
      <c r="D3" s="27"/>
      <c r="E3" s="27"/>
      <c r="F3" s="27"/>
      <c r="G3" s="27"/>
      <c r="H3" s="27"/>
      <c r="I3" s="27"/>
      <c r="J3" s="27"/>
      <c r="K3" s="27"/>
      <c r="L3" s="27"/>
    </row>
    <row r="4" spans="1:16" ht="20.100000000000001" customHeight="1">
      <c r="A4" s="25" t="s">
        <v>60</v>
      </c>
      <c r="B4" s="28"/>
      <c r="C4" s="28"/>
      <c r="D4" s="28"/>
      <c r="E4" s="28"/>
      <c r="F4" s="28"/>
      <c r="G4" s="28"/>
      <c r="H4" s="28"/>
      <c r="I4" s="28"/>
      <c r="J4" s="28"/>
      <c r="K4" s="28"/>
      <c r="L4" s="29"/>
    </row>
    <row r="5" spans="1:16" ht="60" customHeight="1">
      <c r="A5" s="8" t="s">
        <v>61</v>
      </c>
      <c r="B5" s="9" t="s">
        <v>62</v>
      </c>
      <c r="C5" s="9" t="s">
        <v>63</v>
      </c>
      <c r="D5" s="9" t="s">
        <v>64</v>
      </c>
      <c r="E5" s="9" t="s">
        <v>65</v>
      </c>
      <c r="F5" s="8"/>
      <c r="G5" t="s">
        <v>66</v>
      </c>
      <c r="H5" s="8"/>
      <c r="I5" s="8" t="s">
        <v>67</v>
      </c>
      <c r="J5" s="8" t="s">
        <v>68</v>
      </c>
      <c r="K5" s="8" t="s">
        <v>69</v>
      </c>
      <c r="L5" s="9"/>
      <c r="M5" s="20" t="s">
        <v>70</v>
      </c>
      <c r="N5" s="20" t="s">
        <v>71</v>
      </c>
    </row>
    <row r="6" spans="1:16" ht="60" customHeight="1">
      <c r="A6" s="8" t="s">
        <v>72</v>
      </c>
      <c r="B6" s="9" t="s">
        <v>73</v>
      </c>
      <c r="C6" s="9" t="s">
        <v>74</v>
      </c>
      <c r="D6" s="9" t="s">
        <v>75</v>
      </c>
      <c r="E6" s="9" t="s">
        <v>76</v>
      </c>
      <c r="F6" s="8"/>
      <c r="G6" t="s">
        <v>77</v>
      </c>
      <c r="H6" s="8"/>
      <c r="I6" s="8" t="s">
        <v>67</v>
      </c>
      <c r="J6" s="8" t="s">
        <v>68</v>
      </c>
      <c r="K6" s="8" t="s">
        <v>69</v>
      </c>
      <c r="L6" s="9"/>
      <c r="M6" s="20" t="s">
        <v>70</v>
      </c>
      <c r="N6" s="20" t="s">
        <v>78</v>
      </c>
    </row>
    <row r="7" spans="1:16" ht="60" customHeight="1">
      <c r="A7" s="8" t="s">
        <v>79</v>
      </c>
      <c r="B7" s="9" t="s">
        <v>80</v>
      </c>
      <c r="C7" s="9" t="s">
        <v>81</v>
      </c>
      <c r="D7" s="9" t="s">
        <v>82</v>
      </c>
      <c r="E7" s="9" t="s">
        <v>83</v>
      </c>
      <c r="F7" s="8"/>
      <c r="G7" t="s">
        <v>77</v>
      </c>
      <c r="H7" s="8"/>
      <c r="I7" s="8" t="s">
        <v>84</v>
      </c>
      <c r="J7" s="8" t="s">
        <v>85</v>
      </c>
      <c r="K7" s="8" t="s">
        <v>69</v>
      </c>
      <c r="L7" s="9"/>
      <c r="M7" s="20" t="s">
        <v>70</v>
      </c>
      <c r="N7" s="20" t="s">
        <v>86</v>
      </c>
    </row>
    <row r="8" spans="1:16" ht="60" customHeight="1">
      <c r="A8" s="8" t="s">
        <v>87</v>
      </c>
      <c r="B8" s="9" t="s">
        <v>88</v>
      </c>
      <c r="C8" s="9" t="s">
        <v>89</v>
      </c>
      <c r="D8" s="9" t="s">
        <v>90</v>
      </c>
      <c r="E8" s="9" t="s">
        <v>91</v>
      </c>
      <c r="F8" s="8"/>
      <c r="G8" t="s">
        <v>77</v>
      </c>
      <c r="H8" s="8"/>
      <c r="I8" s="8" t="s">
        <v>92</v>
      </c>
      <c r="J8" s="8" t="s">
        <v>93</v>
      </c>
      <c r="K8" s="8" t="s">
        <v>69</v>
      </c>
      <c r="L8" s="9"/>
      <c r="M8" s="20" t="s">
        <v>77</v>
      </c>
      <c r="N8" s="20" t="s">
        <v>94</v>
      </c>
    </row>
    <row r="9" spans="1:16" ht="20.100000000000001" customHeight="1">
      <c r="A9" s="25" t="s">
        <v>95</v>
      </c>
      <c r="B9" s="28"/>
      <c r="C9" s="28"/>
      <c r="D9" s="28"/>
      <c r="E9" s="28"/>
      <c r="F9" s="28"/>
      <c r="G9" s="28"/>
      <c r="H9" s="28"/>
      <c r="I9" s="28"/>
      <c r="J9" s="28"/>
      <c r="K9" s="28"/>
      <c r="L9" s="29"/>
    </row>
    <row r="10" spans="1:16" ht="60" customHeight="1">
      <c r="A10" s="8" t="s">
        <v>96</v>
      </c>
      <c r="B10" s="9" t="s">
        <v>97</v>
      </c>
      <c r="C10" s="9" t="s">
        <v>98</v>
      </c>
      <c r="D10" s="9" t="s">
        <v>99</v>
      </c>
      <c r="E10" s="9" t="s">
        <v>100</v>
      </c>
      <c r="F10" s="8"/>
      <c r="G10" t="s">
        <v>66</v>
      </c>
      <c r="H10" s="8"/>
      <c r="I10" s="8" t="s">
        <v>67</v>
      </c>
      <c r="J10" s="8" t="s">
        <v>68</v>
      </c>
      <c r="K10" s="8" t="s">
        <v>69</v>
      </c>
      <c r="L10" s="9"/>
      <c r="M10" s="20" t="s">
        <v>70</v>
      </c>
      <c r="N10" s="20" t="s">
        <v>101</v>
      </c>
    </row>
    <row r="11" spans="1:16" ht="60" customHeight="1">
      <c r="A11" s="8" t="s">
        <v>102</v>
      </c>
      <c r="B11" s="9" t="s">
        <v>103</v>
      </c>
      <c r="C11" s="9" t="s">
        <v>104</v>
      </c>
      <c r="D11" s="9" t="s">
        <v>105</v>
      </c>
      <c r="E11" s="9" t="s">
        <v>106</v>
      </c>
      <c r="F11" s="8"/>
      <c r="G11" t="s">
        <v>77</v>
      </c>
      <c r="H11" s="8"/>
      <c r="I11" s="8" t="s">
        <v>67</v>
      </c>
      <c r="J11" s="8" t="s">
        <v>68</v>
      </c>
      <c r="K11" s="8" t="s">
        <v>69</v>
      </c>
      <c r="L11" s="9"/>
      <c r="M11" s="20" t="s">
        <v>70</v>
      </c>
      <c r="N11" s="20" t="s">
        <v>107</v>
      </c>
    </row>
    <row r="12" spans="1:16" ht="60" customHeight="1">
      <c r="A12" s="8" t="s">
        <v>108</v>
      </c>
      <c r="B12" s="9" t="s">
        <v>109</v>
      </c>
      <c r="C12" s="9" t="s">
        <v>110</v>
      </c>
      <c r="D12" s="9" t="s">
        <v>111</v>
      </c>
      <c r="E12" s="9" t="s">
        <v>112</v>
      </c>
      <c r="F12" s="8"/>
      <c r="G12" t="s">
        <v>66</v>
      </c>
      <c r="H12" s="8"/>
      <c r="I12" s="8" t="s">
        <v>113</v>
      </c>
      <c r="J12" s="8" t="s">
        <v>85</v>
      </c>
      <c r="K12" s="8" t="s">
        <v>69</v>
      </c>
      <c r="L12" s="9"/>
      <c r="M12" s="20" t="s">
        <v>70</v>
      </c>
      <c r="N12" s="20" t="s">
        <v>107</v>
      </c>
    </row>
    <row r="13" spans="1:16" ht="60" customHeight="1">
      <c r="A13" s="8" t="s">
        <v>114</v>
      </c>
      <c r="B13" s="9" t="s">
        <v>115</v>
      </c>
      <c r="C13" s="9" t="s">
        <v>116</v>
      </c>
      <c r="D13" s="9" t="s">
        <v>117</v>
      </c>
      <c r="E13" s="9" t="s">
        <v>118</v>
      </c>
      <c r="F13" s="8"/>
      <c r="G13" t="s">
        <v>66</v>
      </c>
      <c r="H13" s="8"/>
      <c r="I13" s="8" t="s">
        <v>67</v>
      </c>
      <c r="J13" s="8" t="s">
        <v>68</v>
      </c>
      <c r="K13" s="8" t="s">
        <v>69</v>
      </c>
      <c r="L13" s="9"/>
      <c r="M13" s="20" t="s">
        <v>70</v>
      </c>
      <c r="N13" s="20" t="s">
        <v>119</v>
      </c>
    </row>
    <row r="14" spans="1:16" ht="60" customHeight="1">
      <c r="A14" s="8" t="s">
        <v>120</v>
      </c>
      <c r="B14" s="9" t="s">
        <v>121</v>
      </c>
      <c r="C14" s="9" t="s">
        <v>122</v>
      </c>
      <c r="D14" s="9" t="s">
        <v>123</v>
      </c>
      <c r="E14" s="9" t="s">
        <v>124</v>
      </c>
      <c r="F14" s="8"/>
      <c r="G14" t="s">
        <v>77</v>
      </c>
      <c r="H14" s="8"/>
      <c r="I14" s="8" t="s">
        <v>92</v>
      </c>
      <c r="J14" s="8" t="s">
        <v>85</v>
      </c>
      <c r="K14" s="8" t="s">
        <v>69</v>
      </c>
      <c r="L14" s="9"/>
      <c r="M14" s="20" t="s">
        <v>70</v>
      </c>
      <c r="N14" s="20" t="s">
        <v>125</v>
      </c>
    </row>
    <row r="15" spans="1:16" ht="60" customHeight="1">
      <c r="A15" s="8" t="s">
        <v>126</v>
      </c>
      <c r="B15" s="9" t="s">
        <v>127</v>
      </c>
      <c r="C15" s="9" t="s">
        <v>128</v>
      </c>
      <c r="D15" s="9" t="s">
        <v>129</v>
      </c>
      <c r="E15" s="9" t="s">
        <v>130</v>
      </c>
      <c r="F15" s="8"/>
      <c r="G15" t="s">
        <v>77</v>
      </c>
      <c r="H15" s="8"/>
      <c r="I15" s="8" t="s">
        <v>67</v>
      </c>
      <c r="J15" s="8" t="s">
        <v>68</v>
      </c>
      <c r="K15" s="8" t="s">
        <v>69</v>
      </c>
      <c r="L15" s="9"/>
      <c r="M15" s="20" t="s">
        <v>70</v>
      </c>
      <c r="N15" s="20" t="s">
        <v>131</v>
      </c>
    </row>
    <row r="16" spans="1:16" ht="60" customHeight="1">
      <c r="A16" s="8" t="s">
        <v>132</v>
      </c>
      <c r="B16" s="9" t="s">
        <v>133</v>
      </c>
      <c r="C16" s="9" t="s">
        <v>134</v>
      </c>
      <c r="D16" s="9" t="s">
        <v>135</v>
      </c>
      <c r="E16" s="9" t="s">
        <v>136</v>
      </c>
      <c r="F16" s="8"/>
      <c r="G16" t="s">
        <v>66</v>
      </c>
      <c r="H16" s="8"/>
      <c r="I16" s="8" t="s">
        <v>67</v>
      </c>
      <c r="J16" s="8" t="s">
        <v>85</v>
      </c>
      <c r="K16" s="8" t="s">
        <v>69</v>
      </c>
      <c r="L16" s="9"/>
      <c r="M16" s="20" t="s">
        <v>70</v>
      </c>
      <c r="N16" s="20" t="s">
        <v>137</v>
      </c>
    </row>
    <row r="17" spans="1:14" ht="60" customHeight="1">
      <c r="A17" s="8" t="s">
        <v>138</v>
      </c>
      <c r="B17" s="9" t="s">
        <v>139</v>
      </c>
      <c r="C17" s="9" t="s">
        <v>140</v>
      </c>
      <c r="D17" s="9" t="s">
        <v>141</v>
      </c>
      <c r="E17" s="9" t="s">
        <v>142</v>
      </c>
      <c r="F17" s="8"/>
      <c r="G17" t="s">
        <v>143</v>
      </c>
      <c r="H17" s="8"/>
      <c r="I17" s="8" t="s">
        <v>67</v>
      </c>
      <c r="J17" s="8" t="s">
        <v>68</v>
      </c>
      <c r="K17" s="8" t="s">
        <v>69</v>
      </c>
      <c r="L17" s="9"/>
      <c r="M17" s="20" t="s">
        <v>70</v>
      </c>
      <c r="N17" s="20" t="s">
        <v>144</v>
      </c>
    </row>
    <row r="18" spans="1:14" ht="60" customHeight="1">
      <c r="A18" s="8" t="s">
        <v>145</v>
      </c>
      <c r="B18" s="9" t="s">
        <v>146</v>
      </c>
      <c r="C18" s="9" t="s">
        <v>147</v>
      </c>
      <c r="D18" s="9" t="s">
        <v>148</v>
      </c>
      <c r="E18" s="9" t="s">
        <v>149</v>
      </c>
      <c r="F18" s="8"/>
      <c r="G18" t="s">
        <v>77</v>
      </c>
      <c r="H18" s="8"/>
      <c r="I18" s="8" t="s">
        <v>67</v>
      </c>
      <c r="J18" s="8" t="s">
        <v>85</v>
      </c>
      <c r="K18" s="8" t="s">
        <v>69</v>
      </c>
      <c r="L18" s="9"/>
      <c r="M18" s="20" t="s">
        <v>70</v>
      </c>
      <c r="N18" s="20" t="s">
        <v>150</v>
      </c>
    </row>
    <row r="19" spans="1:14" ht="60" customHeight="1">
      <c r="A19" s="8" t="s">
        <v>151</v>
      </c>
      <c r="B19" s="9" t="s">
        <v>152</v>
      </c>
      <c r="C19" s="9" t="s">
        <v>153</v>
      </c>
      <c r="D19" s="9" t="s">
        <v>154</v>
      </c>
      <c r="E19" s="9" t="s">
        <v>155</v>
      </c>
      <c r="F19" s="8"/>
      <c r="G19" t="s">
        <v>77</v>
      </c>
      <c r="H19" s="8"/>
      <c r="I19" s="8" t="s">
        <v>92</v>
      </c>
      <c r="J19" s="8" t="s">
        <v>93</v>
      </c>
      <c r="K19" s="8" t="s">
        <v>69</v>
      </c>
      <c r="L19" s="9"/>
      <c r="M19" s="20" t="s">
        <v>70</v>
      </c>
      <c r="N19" s="20" t="s">
        <v>156</v>
      </c>
    </row>
    <row r="20" spans="1:14" ht="60" customHeight="1">
      <c r="A20" s="8" t="s">
        <v>157</v>
      </c>
      <c r="B20" s="9" t="s">
        <v>158</v>
      </c>
      <c r="C20" s="9" t="s">
        <v>159</v>
      </c>
      <c r="D20" s="9" t="s">
        <v>160</v>
      </c>
      <c r="E20" s="9" t="s">
        <v>161</v>
      </c>
      <c r="F20" s="8"/>
      <c r="G20" t="s">
        <v>77</v>
      </c>
      <c r="H20" s="8"/>
      <c r="I20" s="8" t="s">
        <v>92</v>
      </c>
      <c r="J20" s="8" t="s">
        <v>93</v>
      </c>
      <c r="K20" s="8" t="s">
        <v>69</v>
      </c>
      <c r="L20" s="9"/>
      <c r="M20" s="20" t="s">
        <v>77</v>
      </c>
      <c r="N20" s="20" t="s">
        <v>94</v>
      </c>
    </row>
    <row r="21" spans="1:14" ht="60" customHeight="1">
      <c r="A21" s="8" t="s">
        <v>162</v>
      </c>
      <c r="B21" s="9" t="s">
        <v>163</v>
      </c>
      <c r="C21" s="9" t="s">
        <v>164</v>
      </c>
      <c r="D21" s="9" t="s">
        <v>165</v>
      </c>
      <c r="E21" s="9" t="s">
        <v>166</v>
      </c>
      <c r="F21" s="8"/>
      <c r="G21" t="s">
        <v>77</v>
      </c>
      <c r="H21" s="8"/>
      <c r="I21" s="8" t="s">
        <v>67</v>
      </c>
      <c r="J21" s="8" t="s">
        <v>68</v>
      </c>
      <c r="K21" s="8" t="s">
        <v>69</v>
      </c>
      <c r="L21" s="9"/>
      <c r="M21" s="20" t="s">
        <v>77</v>
      </c>
      <c r="N21" s="20" t="s">
        <v>167</v>
      </c>
    </row>
    <row r="22" spans="1:14" ht="60" customHeight="1">
      <c r="A22" s="8" t="s">
        <v>168</v>
      </c>
      <c r="B22" s="9" t="s">
        <v>169</v>
      </c>
      <c r="C22" s="9" t="s">
        <v>170</v>
      </c>
      <c r="D22" s="9" t="s">
        <v>171</v>
      </c>
      <c r="E22" s="9" t="s">
        <v>172</v>
      </c>
      <c r="F22" s="8"/>
      <c r="G22" t="s">
        <v>77</v>
      </c>
      <c r="H22" s="8"/>
      <c r="I22" s="8" t="s">
        <v>67</v>
      </c>
      <c r="J22" s="8" t="s">
        <v>85</v>
      </c>
      <c r="K22" s="8" t="s">
        <v>69</v>
      </c>
      <c r="L22" s="9"/>
      <c r="M22" s="20" t="s">
        <v>77</v>
      </c>
      <c r="N22" s="20" t="s">
        <v>173</v>
      </c>
    </row>
    <row r="23" spans="1:14" ht="20.100000000000001" customHeight="1">
      <c r="A23" s="25" t="s">
        <v>174</v>
      </c>
      <c r="B23" s="28"/>
      <c r="C23" s="28"/>
      <c r="D23" s="28"/>
      <c r="E23" s="28"/>
      <c r="F23" s="28"/>
      <c r="G23" s="28"/>
      <c r="H23" s="28"/>
      <c r="I23" s="28"/>
      <c r="J23" s="28"/>
      <c r="K23" s="28"/>
      <c r="L23" s="29"/>
    </row>
    <row r="24" spans="1:14" ht="60" customHeight="1">
      <c r="A24" s="8" t="s">
        <v>175</v>
      </c>
      <c r="B24" s="9" t="s">
        <v>176</v>
      </c>
      <c r="C24" s="9" t="s">
        <v>177</v>
      </c>
      <c r="D24" s="9" t="s">
        <v>178</v>
      </c>
      <c r="E24" s="9" t="s">
        <v>179</v>
      </c>
      <c r="F24" s="8"/>
      <c r="G24" t="s">
        <v>66</v>
      </c>
      <c r="H24" s="8"/>
      <c r="I24" s="8" t="s">
        <v>67</v>
      </c>
      <c r="J24" s="8" t="s">
        <v>68</v>
      </c>
      <c r="K24" s="8" t="s">
        <v>69</v>
      </c>
      <c r="L24" s="9"/>
      <c r="M24" s="20" t="s">
        <v>70</v>
      </c>
      <c r="N24" s="20" t="s">
        <v>180</v>
      </c>
    </row>
    <row r="25" spans="1:14" ht="60" customHeight="1">
      <c r="A25" s="8" t="s">
        <v>181</v>
      </c>
      <c r="B25" s="9" t="s">
        <v>182</v>
      </c>
      <c r="C25" s="9" t="s">
        <v>183</v>
      </c>
      <c r="D25" s="9" t="s">
        <v>184</v>
      </c>
      <c r="E25" s="9" t="s">
        <v>185</v>
      </c>
      <c r="F25" s="8"/>
      <c r="G25" t="s">
        <v>66</v>
      </c>
      <c r="H25" s="8"/>
      <c r="I25" s="8" t="s">
        <v>113</v>
      </c>
      <c r="J25" s="8" t="s">
        <v>68</v>
      </c>
      <c r="K25" s="8" t="s">
        <v>69</v>
      </c>
      <c r="L25" s="9"/>
      <c r="M25" s="20" t="s">
        <v>70</v>
      </c>
      <c r="N25" s="20" t="s">
        <v>186</v>
      </c>
    </row>
    <row r="26" spans="1:14" ht="60" customHeight="1">
      <c r="A26" s="8" t="s">
        <v>187</v>
      </c>
      <c r="B26" s="9" t="s">
        <v>188</v>
      </c>
      <c r="C26" s="9" t="s">
        <v>189</v>
      </c>
      <c r="D26" s="9" t="s">
        <v>190</v>
      </c>
      <c r="E26" s="9" t="s">
        <v>191</v>
      </c>
      <c r="F26" s="8"/>
      <c r="G26" t="s">
        <v>77</v>
      </c>
      <c r="H26" s="8"/>
      <c r="I26" s="8" t="s">
        <v>113</v>
      </c>
      <c r="J26" s="8" t="s">
        <v>85</v>
      </c>
      <c r="K26" s="8" t="s">
        <v>69</v>
      </c>
      <c r="L26" s="9"/>
      <c r="M26" s="20" t="s">
        <v>70</v>
      </c>
      <c r="N26" s="20" t="s">
        <v>186</v>
      </c>
    </row>
    <row r="27" spans="1:14" ht="60" customHeight="1">
      <c r="A27" s="8" t="s">
        <v>192</v>
      </c>
      <c r="B27" s="9" t="s">
        <v>193</v>
      </c>
      <c r="C27" s="9" t="s">
        <v>194</v>
      </c>
      <c r="D27" s="9" t="s">
        <v>195</v>
      </c>
      <c r="E27" s="9" t="s">
        <v>196</v>
      </c>
      <c r="F27" s="8"/>
      <c r="G27" t="s">
        <v>77</v>
      </c>
      <c r="H27" s="8"/>
      <c r="I27" s="8" t="s">
        <v>92</v>
      </c>
      <c r="J27" s="8" t="s">
        <v>68</v>
      </c>
      <c r="K27" s="8" t="s">
        <v>69</v>
      </c>
      <c r="L27" s="9"/>
      <c r="M27" s="20" t="s">
        <v>70</v>
      </c>
      <c r="N27" s="20" t="s">
        <v>197</v>
      </c>
    </row>
    <row r="28" spans="1:14" ht="60" customHeight="1">
      <c r="A28" s="8" t="s">
        <v>198</v>
      </c>
      <c r="B28" s="9" t="s">
        <v>199</v>
      </c>
      <c r="C28" s="9" t="s">
        <v>200</v>
      </c>
      <c r="D28" s="9" t="s">
        <v>201</v>
      </c>
      <c r="E28" s="9" t="s">
        <v>202</v>
      </c>
      <c r="F28" s="8"/>
      <c r="G28" t="s">
        <v>77</v>
      </c>
      <c r="H28" s="8"/>
      <c r="I28" s="8" t="s">
        <v>92</v>
      </c>
      <c r="J28" s="8" t="s">
        <v>85</v>
      </c>
      <c r="K28" s="8" t="s">
        <v>69</v>
      </c>
      <c r="L28" s="9"/>
      <c r="M28" s="20" t="s">
        <v>70</v>
      </c>
      <c r="N28" s="20" t="s">
        <v>197</v>
      </c>
    </row>
    <row r="29" spans="1:14" ht="60" customHeight="1">
      <c r="A29" s="8" t="s">
        <v>203</v>
      </c>
      <c r="B29" s="9" t="s">
        <v>204</v>
      </c>
      <c r="C29" s="9" t="s">
        <v>205</v>
      </c>
      <c r="D29" s="9" t="s">
        <v>206</v>
      </c>
      <c r="E29" s="9" t="s">
        <v>207</v>
      </c>
      <c r="F29" s="8"/>
      <c r="G29" t="s">
        <v>143</v>
      </c>
      <c r="H29" s="8"/>
      <c r="I29" s="8" t="s">
        <v>92</v>
      </c>
      <c r="J29" s="8" t="s">
        <v>68</v>
      </c>
      <c r="K29" s="8" t="s">
        <v>69</v>
      </c>
      <c r="L29" s="9"/>
      <c r="M29" s="20" t="s">
        <v>70</v>
      </c>
      <c r="N29" s="20" t="s">
        <v>208</v>
      </c>
    </row>
    <row r="30" spans="1:14" ht="60" customHeight="1">
      <c r="A30" s="8" t="s">
        <v>209</v>
      </c>
      <c r="B30" s="9" t="s">
        <v>210</v>
      </c>
      <c r="C30" s="9" t="s">
        <v>211</v>
      </c>
      <c r="D30" s="9" t="s">
        <v>212</v>
      </c>
      <c r="E30" s="9" t="s">
        <v>213</v>
      </c>
      <c r="F30" s="8"/>
      <c r="G30" t="s">
        <v>77</v>
      </c>
      <c r="H30" s="8"/>
      <c r="I30" s="8" t="s">
        <v>113</v>
      </c>
      <c r="J30" s="8" t="s">
        <v>85</v>
      </c>
      <c r="K30" s="8" t="s">
        <v>69</v>
      </c>
      <c r="L30" s="9"/>
      <c r="M30" s="20" t="s">
        <v>70</v>
      </c>
      <c r="N30" s="20" t="s">
        <v>214</v>
      </c>
    </row>
    <row r="31" spans="1:14" ht="20.100000000000001" customHeight="1">
      <c r="A31" s="25" t="s">
        <v>215</v>
      </c>
      <c r="B31" s="28"/>
      <c r="C31" s="28"/>
      <c r="D31" s="28"/>
      <c r="E31" s="28"/>
      <c r="F31" s="28"/>
      <c r="G31" s="28"/>
      <c r="H31" s="28"/>
      <c r="I31" s="28"/>
      <c r="J31" s="28"/>
      <c r="K31" s="28"/>
      <c r="L31" s="29"/>
    </row>
    <row r="32" spans="1:14" ht="60" customHeight="1">
      <c r="A32" s="8" t="s">
        <v>216</v>
      </c>
      <c r="B32" s="9" t="s">
        <v>217</v>
      </c>
      <c r="C32" s="9" t="s">
        <v>218</v>
      </c>
      <c r="D32" s="9" t="s">
        <v>219</v>
      </c>
      <c r="E32" s="9" t="s">
        <v>220</v>
      </c>
      <c r="F32" s="8"/>
      <c r="G32" t="s">
        <v>77</v>
      </c>
      <c r="H32" s="8"/>
      <c r="I32" s="8" t="s">
        <v>67</v>
      </c>
      <c r="J32" s="8" t="s">
        <v>85</v>
      </c>
      <c r="K32" s="8" t="s">
        <v>69</v>
      </c>
      <c r="L32" s="9"/>
      <c r="M32" s="20" t="s">
        <v>70</v>
      </c>
      <c r="N32" s="20" t="s">
        <v>221</v>
      </c>
    </row>
    <row r="33" spans="1:14" ht="60" customHeight="1">
      <c r="A33" s="8" t="s">
        <v>222</v>
      </c>
      <c r="B33" s="9" t="s">
        <v>223</v>
      </c>
      <c r="C33" s="9" t="s">
        <v>224</v>
      </c>
      <c r="D33" s="9" t="s">
        <v>225</v>
      </c>
      <c r="E33" s="9" t="s">
        <v>226</v>
      </c>
      <c r="F33" s="8"/>
      <c r="G33" t="s">
        <v>227</v>
      </c>
      <c r="H33" s="8"/>
      <c r="I33" s="8" t="s">
        <v>113</v>
      </c>
      <c r="J33" s="8" t="s">
        <v>68</v>
      </c>
      <c r="K33" s="8" t="s">
        <v>69</v>
      </c>
      <c r="L33" s="9"/>
      <c r="M33" s="20" t="s">
        <v>228</v>
      </c>
      <c r="N33" s="20" t="s">
        <v>229</v>
      </c>
    </row>
    <row r="34" spans="1:14" ht="60" customHeight="1">
      <c r="A34" s="8" t="s">
        <v>230</v>
      </c>
      <c r="B34" s="9" t="s">
        <v>231</v>
      </c>
      <c r="C34" s="9" t="s">
        <v>232</v>
      </c>
      <c r="D34" s="9" t="s">
        <v>233</v>
      </c>
      <c r="E34" s="9" t="s">
        <v>234</v>
      </c>
      <c r="F34" s="8"/>
      <c r="G34" t="s">
        <v>227</v>
      </c>
      <c r="H34" s="8"/>
      <c r="I34" s="8" t="s">
        <v>113</v>
      </c>
      <c r="J34" s="8" t="s">
        <v>68</v>
      </c>
      <c r="K34" s="8" t="s">
        <v>69</v>
      </c>
      <c r="L34" s="9"/>
      <c r="M34" s="20" t="s">
        <v>228</v>
      </c>
      <c r="N34" s="20" t="s">
        <v>235</v>
      </c>
    </row>
    <row r="35" spans="1:14" ht="60" customHeight="1">
      <c r="A35" s="8" t="s">
        <v>236</v>
      </c>
      <c r="B35" s="9" t="s">
        <v>237</v>
      </c>
      <c r="C35" s="9" t="s">
        <v>238</v>
      </c>
      <c r="D35" s="9" t="s">
        <v>239</v>
      </c>
      <c r="E35" s="9" t="s">
        <v>240</v>
      </c>
      <c r="F35" s="8"/>
      <c r="G35" t="s">
        <v>227</v>
      </c>
      <c r="H35" s="8"/>
      <c r="I35" s="8" t="s">
        <v>113</v>
      </c>
      <c r="J35" s="8" t="s">
        <v>68</v>
      </c>
      <c r="K35" s="8" t="s">
        <v>69</v>
      </c>
      <c r="L35" s="9"/>
      <c r="M35" s="20" t="s">
        <v>228</v>
      </c>
      <c r="N35" s="20" t="s">
        <v>241</v>
      </c>
    </row>
    <row r="36" spans="1:14" ht="60" customHeight="1">
      <c r="A36" s="8" t="s">
        <v>242</v>
      </c>
      <c r="B36" s="9" t="s">
        <v>243</v>
      </c>
      <c r="C36" s="9" t="s">
        <v>244</v>
      </c>
      <c r="D36" s="9" t="s">
        <v>245</v>
      </c>
      <c r="E36" s="9" t="s">
        <v>246</v>
      </c>
      <c r="F36" s="8"/>
      <c r="G36" t="s">
        <v>77</v>
      </c>
      <c r="H36" s="8"/>
      <c r="I36" s="8" t="s">
        <v>67</v>
      </c>
      <c r="J36" s="8" t="s">
        <v>93</v>
      </c>
      <c r="K36" s="8" t="s">
        <v>69</v>
      </c>
      <c r="L36" s="9"/>
      <c r="M36" s="20" t="s">
        <v>70</v>
      </c>
      <c r="N36" s="20" t="s">
        <v>247</v>
      </c>
    </row>
    <row r="37" spans="1:14" ht="60" customHeight="1">
      <c r="A37" s="8" t="s">
        <v>248</v>
      </c>
      <c r="B37" s="9" t="s">
        <v>249</v>
      </c>
      <c r="C37" s="9" t="s">
        <v>250</v>
      </c>
      <c r="D37" s="9" t="s">
        <v>251</v>
      </c>
      <c r="E37" s="9" t="s">
        <v>252</v>
      </c>
      <c r="F37" s="8"/>
      <c r="G37" t="s">
        <v>77</v>
      </c>
      <c r="H37" s="8"/>
      <c r="I37" s="8" t="s">
        <v>67</v>
      </c>
      <c r="J37" s="8" t="s">
        <v>85</v>
      </c>
      <c r="K37" s="8" t="s">
        <v>69</v>
      </c>
      <c r="L37" s="9"/>
      <c r="M37" s="20" t="s">
        <v>70</v>
      </c>
      <c r="N37" s="20" t="s">
        <v>253</v>
      </c>
    </row>
    <row r="38" spans="1:14" ht="60" customHeight="1">
      <c r="A38" s="8" t="s">
        <v>254</v>
      </c>
      <c r="B38" s="9" t="s">
        <v>255</v>
      </c>
      <c r="C38" s="9" t="s">
        <v>256</v>
      </c>
      <c r="D38" s="9" t="s">
        <v>257</v>
      </c>
      <c r="E38" s="9" t="s">
        <v>258</v>
      </c>
      <c r="F38" s="8"/>
      <c r="G38" t="s">
        <v>77</v>
      </c>
      <c r="H38" s="8"/>
      <c r="I38" s="8" t="s">
        <v>113</v>
      </c>
      <c r="J38" s="8" t="s">
        <v>68</v>
      </c>
      <c r="K38" s="8" t="s">
        <v>69</v>
      </c>
      <c r="L38" s="9"/>
      <c r="M38" s="20" t="s">
        <v>77</v>
      </c>
      <c r="N38" s="20" t="s">
        <v>167</v>
      </c>
    </row>
    <row r="39" spans="1:14" ht="60" customHeight="1">
      <c r="A39" s="8" t="s">
        <v>259</v>
      </c>
      <c r="B39" s="9" t="s">
        <v>260</v>
      </c>
      <c r="C39" s="9" t="s">
        <v>261</v>
      </c>
      <c r="D39" s="9" t="s">
        <v>262</v>
      </c>
      <c r="E39" s="9" t="s">
        <v>263</v>
      </c>
      <c r="F39" s="8"/>
      <c r="G39" t="s">
        <v>77</v>
      </c>
      <c r="H39" s="8"/>
      <c r="I39" s="8" t="s">
        <v>67</v>
      </c>
      <c r="J39" s="8" t="s">
        <v>68</v>
      </c>
      <c r="K39" s="8" t="s">
        <v>69</v>
      </c>
      <c r="L39" s="9" t="s">
        <v>264</v>
      </c>
      <c r="M39" s="20" t="s">
        <v>77</v>
      </c>
      <c r="N39" s="20" t="s">
        <v>265</v>
      </c>
    </row>
    <row r="40" spans="1:14" ht="60" customHeight="1">
      <c r="A40" s="8" t="s">
        <v>266</v>
      </c>
      <c r="B40" s="9" t="s">
        <v>267</v>
      </c>
      <c r="C40" s="9" t="s">
        <v>268</v>
      </c>
      <c r="D40" s="9" t="s">
        <v>269</v>
      </c>
      <c r="E40" s="9" t="s">
        <v>270</v>
      </c>
      <c r="F40" s="8"/>
      <c r="G40" t="s">
        <v>77</v>
      </c>
      <c r="H40" s="8"/>
      <c r="I40" s="8" t="s">
        <v>92</v>
      </c>
      <c r="J40" s="8" t="s">
        <v>93</v>
      </c>
      <c r="K40" s="8" t="s">
        <v>69</v>
      </c>
      <c r="L40" s="9"/>
      <c r="M40" s="20" t="s">
        <v>77</v>
      </c>
      <c r="N40" s="20" t="s">
        <v>94</v>
      </c>
    </row>
    <row r="41" spans="1:14" ht="60" customHeight="1">
      <c r="A41" s="8" t="s">
        <v>271</v>
      </c>
      <c r="B41" s="9" t="s">
        <v>272</v>
      </c>
      <c r="C41" s="9" t="s">
        <v>268</v>
      </c>
      <c r="D41" s="9" t="s">
        <v>273</v>
      </c>
      <c r="E41" s="9" t="s">
        <v>274</v>
      </c>
      <c r="F41" s="8"/>
      <c r="G41" t="s">
        <v>77</v>
      </c>
      <c r="H41" s="8"/>
      <c r="I41" s="8" t="s">
        <v>92</v>
      </c>
      <c r="J41" s="8" t="s">
        <v>85</v>
      </c>
      <c r="K41" s="8" t="s">
        <v>69</v>
      </c>
      <c r="L41" s="9"/>
      <c r="M41" s="20" t="s">
        <v>77</v>
      </c>
      <c r="N41" s="20" t="s">
        <v>94</v>
      </c>
    </row>
    <row r="42" spans="1:14" ht="60" customHeight="1">
      <c r="A42" s="8" t="s">
        <v>275</v>
      </c>
      <c r="B42" s="9" t="s">
        <v>276</v>
      </c>
      <c r="C42" s="9" t="s">
        <v>277</v>
      </c>
      <c r="D42" s="9" t="s">
        <v>278</v>
      </c>
      <c r="E42" s="9" t="s">
        <v>279</v>
      </c>
      <c r="F42" s="8"/>
      <c r="G42" t="s">
        <v>77</v>
      </c>
      <c r="H42" s="8"/>
      <c r="I42" s="8" t="s">
        <v>67</v>
      </c>
      <c r="J42" s="8" t="s">
        <v>68</v>
      </c>
      <c r="K42" s="8" t="s">
        <v>69</v>
      </c>
      <c r="L42" s="9" t="s">
        <v>280</v>
      </c>
      <c r="M42" s="20" t="s">
        <v>77</v>
      </c>
      <c r="N42" s="20" t="s">
        <v>281</v>
      </c>
    </row>
    <row r="43" spans="1:14" ht="60" customHeight="1">
      <c r="A43" s="8" t="s">
        <v>282</v>
      </c>
      <c r="B43" s="9" t="s">
        <v>283</v>
      </c>
      <c r="C43" s="9" t="s">
        <v>284</v>
      </c>
      <c r="D43" s="9" t="s">
        <v>285</v>
      </c>
      <c r="E43" s="9" t="s">
        <v>286</v>
      </c>
      <c r="F43" s="8"/>
      <c r="G43" t="s">
        <v>227</v>
      </c>
      <c r="H43" s="8"/>
      <c r="I43" s="8" t="s">
        <v>92</v>
      </c>
      <c r="J43" s="8" t="s">
        <v>68</v>
      </c>
      <c r="K43" s="8" t="s">
        <v>69</v>
      </c>
      <c r="L43" s="9"/>
      <c r="M43" s="20" t="s">
        <v>228</v>
      </c>
      <c r="N43" s="20" t="s">
        <v>287</v>
      </c>
    </row>
    <row r="44" spans="1:14" ht="60" customHeight="1">
      <c r="A44" s="8" t="s">
        <v>288</v>
      </c>
      <c r="B44" s="9" t="s">
        <v>289</v>
      </c>
      <c r="C44" s="9" t="s">
        <v>290</v>
      </c>
      <c r="D44" s="9" t="s">
        <v>291</v>
      </c>
      <c r="E44" s="9" t="s">
        <v>292</v>
      </c>
      <c r="F44" s="8"/>
      <c r="G44" t="s">
        <v>77</v>
      </c>
      <c r="H44" s="8"/>
      <c r="I44" s="8" t="s">
        <v>67</v>
      </c>
      <c r="J44" s="8" t="s">
        <v>85</v>
      </c>
      <c r="K44" s="8" t="s">
        <v>69</v>
      </c>
      <c r="L44" s="9"/>
      <c r="M44" s="20" t="s">
        <v>77</v>
      </c>
      <c r="N44" s="20" t="s">
        <v>293</v>
      </c>
    </row>
    <row r="45" spans="1:14" ht="60" customHeight="1">
      <c r="A45" s="8" t="s">
        <v>294</v>
      </c>
      <c r="B45" s="9" t="s">
        <v>295</v>
      </c>
      <c r="C45" s="9" t="s">
        <v>296</v>
      </c>
      <c r="D45" s="9" t="s">
        <v>297</v>
      </c>
      <c r="E45" s="9" t="s">
        <v>298</v>
      </c>
      <c r="F45" s="8"/>
      <c r="G45" t="s">
        <v>66</v>
      </c>
      <c r="H45" s="8"/>
      <c r="I45" s="8" t="s">
        <v>113</v>
      </c>
      <c r="J45" s="8" t="s">
        <v>68</v>
      </c>
      <c r="K45" s="8" t="s">
        <v>69</v>
      </c>
      <c r="L45" s="9"/>
      <c r="M45" s="20" t="s">
        <v>70</v>
      </c>
      <c r="N45" s="20" t="s">
        <v>299</v>
      </c>
    </row>
    <row r="46" spans="1:14" ht="60" customHeight="1">
      <c r="A46" s="8" t="s">
        <v>300</v>
      </c>
      <c r="B46" s="9" t="s">
        <v>301</v>
      </c>
      <c r="C46" s="9" t="s">
        <v>302</v>
      </c>
      <c r="D46" s="9" t="s">
        <v>303</v>
      </c>
      <c r="E46" s="9" t="s">
        <v>304</v>
      </c>
      <c r="F46" s="8"/>
      <c r="G46" t="s">
        <v>77</v>
      </c>
      <c r="H46" s="8"/>
      <c r="I46" s="8" t="s">
        <v>305</v>
      </c>
      <c r="J46" s="8" t="s">
        <v>93</v>
      </c>
      <c r="K46" s="8" t="s">
        <v>306</v>
      </c>
      <c r="L46" s="9"/>
      <c r="M46" s="20" t="s">
        <v>77</v>
      </c>
      <c r="N46" s="20" t="s">
        <v>167</v>
      </c>
    </row>
    <row r="47" spans="1:14" ht="60" customHeight="1">
      <c r="A47" s="8" t="s">
        <v>307</v>
      </c>
      <c r="B47" s="9" t="s">
        <v>308</v>
      </c>
      <c r="C47" s="9" t="s">
        <v>309</v>
      </c>
      <c r="D47" s="9" t="s">
        <v>310</v>
      </c>
      <c r="E47" s="9" t="s">
        <v>311</v>
      </c>
      <c r="F47" s="8"/>
      <c r="G47" t="s">
        <v>77</v>
      </c>
      <c r="H47" s="8"/>
      <c r="I47" s="8" t="s">
        <v>305</v>
      </c>
      <c r="J47" s="8" t="s">
        <v>93</v>
      </c>
      <c r="K47" s="8" t="s">
        <v>306</v>
      </c>
      <c r="L47" s="9"/>
      <c r="M47" s="20" t="s">
        <v>77</v>
      </c>
      <c r="N47" s="20" t="s">
        <v>167</v>
      </c>
    </row>
    <row r="48" spans="1:14" ht="20.100000000000001" customHeight="1">
      <c r="A48" s="25" t="s">
        <v>312</v>
      </c>
      <c r="B48" s="28"/>
      <c r="C48" s="28"/>
      <c r="D48" s="28"/>
      <c r="E48" s="28"/>
      <c r="F48" s="28"/>
      <c r="G48" s="28"/>
      <c r="H48" s="28"/>
      <c r="I48" s="28"/>
      <c r="J48" s="28"/>
      <c r="K48" s="28"/>
      <c r="L48" s="29"/>
    </row>
    <row r="49" spans="1:14" ht="60" customHeight="1">
      <c r="A49" s="8" t="s">
        <v>313</v>
      </c>
      <c r="B49" s="9" t="s">
        <v>314</v>
      </c>
      <c r="C49" s="9" t="s">
        <v>315</v>
      </c>
      <c r="D49" s="9" t="s">
        <v>316</v>
      </c>
      <c r="E49" s="9" t="s">
        <v>317</v>
      </c>
      <c r="F49" s="8"/>
      <c r="G49" t="s">
        <v>77</v>
      </c>
      <c r="H49" s="8"/>
      <c r="I49" s="8" t="s">
        <v>67</v>
      </c>
      <c r="J49" s="8" t="s">
        <v>68</v>
      </c>
      <c r="K49" s="8" t="s">
        <v>69</v>
      </c>
      <c r="L49" s="9"/>
      <c r="M49" s="20" t="s">
        <v>70</v>
      </c>
      <c r="N49" s="20" t="s">
        <v>318</v>
      </c>
    </row>
    <row r="50" spans="1:14" ht="60" customHeight="1">
      <c r="A50" s="8" t="s">
        <v>319</v>
      </c>
      <c r="B50" s="9" t="s">
        <v>320</v>
      </c>
      <c r="C50" s="9" t="s">
        <v>321</v>
      </c>
      <c r="D50" s="9" t="s">
        <v>322</v>
      </c>
      <c r="E50" s="9" t="s">
        <v>323</v>
      </c>
      <c r="F50" s="8"/>
      <c r="G50" t="s">
        <v>77</v>
      </c>
      <c r="H50" s="8"/>
      <c r="I50" s="8" t="s">
        <v>113</v>
      </c>
      <c r="J50" s="8" t="s">
        <v>85</v>
      </c>
      <c r="K50" s="8" t="s">
        <v>69</v>
      </c>
      <c r="L50" s="9"/>
      <c r="M50" s="20" t="s">
        <v>77</v>
      </c>
      <c r="N50" s="20" t="s">
        <v>167</v>
      </c>
    </row>
    <row r="51" spans="1:14" ht="60" customHeight="1">
      <c r="A51" s="8" t="s">
        <v>324</v>
      </c>
      <c r="B51" s="9" t="s">
        <v>325</v>
      </c>
      <c r="C51" s="9" t="s">
        <v>326</v>
      </c>
      <c r="D51" s="9" t="s">
        <v>327</v>
      </c>
      <c r="E51" s="9" t="s">
        <v>328</v>
      </c>
      <c r="F51" s="8"/>
      <c r="G51" t="s">
        <v>77</v>
      </c>
      <c r="H51" s="8"/>
      <c r="I51" s="8" t="s">
        <v>92</v>
      </c>
      <c r="J51" s="8" t="s">
        <v>68</v>
      </c>
      <c r="K51" s="8" t="s">
        <v>69</v>
      </c>
      <c r="L51" s="9"/>
      <c r="M51" s="20" t="s">
        <v>77</v>
      </c>
      <c r="N51" s="20" t="s">
        <v>167</v>
      </c>
    </row>
    <row r="52" spans="1:14" ht="60" customHeight="1">
      <c r="A52" s="8" t="s">
        <v>329</v>
      </c>
      <c r="B52" s="9" t="s">
        <v>330</v>
      </c>
      <c r="C52" s="9" t="s">
        <v>331</v>
      </c>
      <c r="D52" s="9" t="s">
        <v>332</v>
      </c>
      <c r="E52" s="9" t="s">
        <v>333</v>
      </c>
      <c r="F52" s="8"/>
      <c r="G52" t="s">
        <v>77</v>
      </c>
      <c r="H52" s="8"/>
      <c r="I52" s="8" t="s">
        <v>67</v>
      </c>
      <c r="J52" s="8" t="s">
        <v>68</v>
      </c>
      <c r="K52" s="8" t="s">
        <v>69</v>
      </c>
      <c r="L52" s="9"/>
      <c r="M52" s="20" t="s">
        <v>77</v>
      </c>
      <c r="N52" s="20" t="s">
        <v>334</v>
      </c>
    </row>
    <row r="53" spans="1:14" ht="60" customHeight="1">
      <c r="A53" s="8" t="s">
        <v>335</v>
      </c>
      <c r="B53" s="9" t="s">
        <v>336</v>
      </c>
      <c r="C53" s="9" t="s">
        <v>337</v>
      </c>
      <c r="D53" s="9" t="s">
        <v>338</v>
      </c>
      <c r="E53" s="9" t="s">
        <v>339</v>
      </c>
      <c r="F53" s="8"/>
      <c r="G53" t="s">
        <v>77</v>
      </c>
      <c r="H53" s="8"/>
      <c r="I53" s="8" t="s">
        <v>92</v>
      </c>
      <c r="J53" s="8" t="s">
        <v>85</v>
      </c>
      <c r="K53" s="8" t="s">
        <v>69</v>
      </c>
      <c r="L53" s="9"/>
      <c r="M53" s="20" t="s">
        <v>77</v>
      </c>
      <c r="N53" s="20" t="s">
        <v>167</v>
      </c>
    </row>
    <row r="54" spans="1:14" ht="60" customHeight="1">
      <c r="A54" s="8" t="s">
        <v>340</v>
      </c>
      <c r="B54" s="9" t="s">
        <v>341</v>
      </c>
      <c r="C54" s="9" t="s">
        <v>342</v>
      </c>
      <c r="D54" s="9" t="s">
        <v>343</v>
      </c>
      <c r="E54" s="9" t="s">
        <v>344</v>
      </c>
      <c r="F54" s="8"/>
      <c r="G54" t="s">
        <v>77</v>
      </c>
      <c r="H54" s="8"/>
      <c r="I54" s="8" t="s">
        <v>92</v>
      </c>
      <c r="J54" s="8" t="s">
        <v>93</v>
      </c>
      <c r="K54" s="8" t="s">
        <v>69</v>
      </c>
      <c r="L54" s="9"/>
      <c r="M54" s="20" t="s">
        <v>77</v>
      </c>
      <c r="N54" s="20" t="s">
        <v>94</v>
      </c>
    </row>
    <row r="55" spans="1:14" ht="60" customHeight="1">
      <c r="A55" s="8" t="s">
        <v>345</v>
      </c>
      <c r="B55" s="9" t="s">
        <v>346</v>
      </c>
      <c r="C55" s="9" t="s">
        <v>342</v>
      </c>
      <c r="D55" s="9" t="s">
        <v>347</v>
      </c>
      <c r="E55" s="9" t="s">
        <v>348</v>
      </c>
      <c r="F55" s="8"/>
      <c r="G55" t="s">
        <v>77</v>
      </c>
      <c r="H55" s="8"/>
      <c r="I55" s="8" t="s">
        <v>92</v>
      </c>
      <c r="J55" s="8" t="s">
        <v>85</v>
      </c>
      <c r="K55" s="8" t="s">
        <v>69</v>
      </c>
      <c r="L55" s="9"/>
      <c r="M55" s="20" t="s">
        <v>77</v>
      </c>
      <c r="N55" s="20" t="s">
        <v>94</v>
      </c>
    </row>
    <row r="56" spans="1:14" ht="60" customHeight="1">
      <c r="A56" s="8" t="s">
        <v>349</v>
      </c>
      <c r="B56" s="9" t="s">
        <v>350</v>
      </c>
      <c r="C56" s="9" t="s">
        <v>351</v>
      </c>
      <c r="D56" s="9" t="s">
        <v>352</v>
      </c>
      <c r="E56" s="9" t="s">
        <v>353</v>
      </c>
      <c r="F56" s="8"/>
      <c r="G56" t="s">
        <v>77</v>
      </c>
      <c r="H56" s="8"/>
      <c r="I56" s="8" t="s">
        <v>84</v>
      </c>
      <c r="J56" s="8" t="s">
        <v>85</v>
      </c>
      <c r="K56" s="8" t="s">
        <v>69</v>
      </c>
      <c r="L56" s="9"/>
      <c r="M56" s="20" t="s">
        <v>70</v>
      </c>
      <c r="N56" s="20" t="s">
        <v>354</v>
      </c>
    </row>
    <row r="57" spans="1:14" ht="60" customHeight="1">
      <c r="A57" s="8" t="s">
        <v>355</v>
      </c>
      <c r="B57" s="9" t="s">
        <v>356</v>
      </c>
      <c r="C57" s="9" t="s">
        <v>357</v>
      </c>
      <c r="D57" s="9" t="s">
        <v>358</v>
      </c>
      <c r="E57" s="9" t="s">
        <v>359</v>
      </c>
      <c r="F57" s="8"/>
      <c r="G57" t="s">
        <v>77</v>
      </c>
      <c r="H57" s="8"/>
      <c r="I57" s="8" t="s">
        <v>305</v>
      </c>
      <c r="J57" s="8" t="s">
        <v>68</v>
      </c>
      <c r="K57" s="8" t="s">
        <v>306</v>
      </c>
      <c r="L57" s="9"/>
      <c r="M57" s="20" t="s">
        <v>77</v>
      </c>
      <c r="N57" s="20" t="s">
        <v>167</v>
      </c>
    </row>
    <row r="58" spans="1:14" ht="60" customHeight="1">
      <c r="A58" s="8" t="s">
        <v>360</v>
      </c>
      <c r="B58" s="9" t="s">
        <v>361</v>
      </c>
      <c r="C58" s="9" t="s">
        <v>362</v>
      </c>
      <c r="D58" s="9" t="s">
        <v>363</v>
      </c>
      <c r="E58" s="9" t="s">
        <v>364</v>
      </c>
      <c r="F58" s="8"/>
      <c r="G58" t="s">
        <v>77</v>
      </c>
      <c r="H58" s="8"/>
      <c r="I58" s="8" t="s">
        <v>305</v>
      </c>
      <c r="J58" s="8" t="s">
        <v>93</v>
      </c>
      <c r="K58" s="8" t="s">
        <v>306</v>
      </c>
      <c r="L58" s="9"/>
      <c r="M58" s="20" t="s">
        <v>77</v>
      </c>
      <c r="N58" s="20" t="s">
        <v>167</v>
      </c>
    </row>
    <row r="59" spans="1:14" ht="20.100000000000001" customHeight="1">
      <c r="A59" s="25" t="s">
        <v>365</v>
      </c>
      <c r="B59" s="28"/>
      <c r="C59" s="28"/>
      <c r="D59" s="28"/>
      <c r="E59" s="28"/>
      <c r="F59" s="28"/>
      <c r="G59" s="28"/>
      <c r="H59" s="28"/>
      <c r="I59" s="28"/>
      <c r="J59" s="28"/>
      <c r="K59" s="28"/>
      <c r="L59" s="29"/>
    </row>
    <row r="60" spans="1:14" ht="60" customHeight="1">
      <c r="A60" s="8" t="s">
        <v>366</v>
      </c>
      <c r="B60" s="9" t="s">
        <v>367</v>
      </c>
      <c r="C60" s="9" t="s">
        <v>368</v>
      </c>
      <c r="D60" s="9" t="s">
        <v>369</v>
      </c>
      <c r="E60" s="9" t="s">
        <v>370</v>
      </c>
      <c r="F60" s="8"/>
      <c r="G60" t="s">
        <v>66</v>
      </c>
      <c r="H60" s="8"/>
      <c r="I60" s="8" t="s">
        <v>67</v>
      </c>
      <c r="J60" s="8" t="s">
        <v>68</v>
      </c>
      <c r="K60" s="8" t="s">
        <v>69</v>
      </c>
      <c r="L60" s="9"/>
      <c r="M60" s="20" t="s">
        <v>70</v>
      </c>
      <c r="N60" s="20" t="s">
        <v>371</v>
      </c>
    </row>
    <row r="61" spans="1:14" ht="60" customHeight="1">
      <c r="A61" s="8" t="s">
        <v>372</v>
      </c>
      <c r="B61" s="9" t="s">
        <v>373</v>
      </c>
      <c r="C61" s="9" t="s">
        <v>374</v>
      </c>
      <c r="D61" s="9" t="s">
        <v>375</v>
      </c>
      <c r="E61" s="9" t="s">
        <v>376</v>
      </c>
      <c r="F61" s="8"/>
      <c r="G61" t="s">
        <v>77</v>
      </c>
      <c r="H61" s="8"/>
      <c r="I61" s="8" t="s">
        <v>92</v>
      </c>
      <c r="J61" s="8" t="s">
        <v>68</v>
      </c>
      <c r="K61" s="8" t="s">
        <v>69</v>
      </c>
      <c r="L61" s="9"/>
      <c r="M61" s="20" t="s">
        <v>70</v>
      </c>
      <c r="N61" s="20" t="s">
        <v>377</v>
      </c>
    </row>
    <row r="62" spans="1:14" ht="60" customHeight="1">
      <c r="A62" s="8" t="s">
        <v>378</v>
      </c>
      <c r="B62" s="9" t="s">
        <v>379</v>
      </c>
      <c r="C62" s="9" t="s">
        <v>380</v>
      </c>
      <c r="D62" s="9" t="s">
        <v>381</v>
      </c>
      <c r="E62" s="9" t="s">
        <v>382</v>
      </c>
      <c r="F62" s="8"/>
      <c r="G62" t="s">
        <v>66</v>
      </c>
      <c r="H62" s="8"/>
      <c r="I62" s="8" t="s">
        <v>67</v>
      </c>
      <c r="J62" s="8" t="s">
        <v>68</v>
      </c>
      <c r="K62" s="8" t="s">
        <v>69</v>
      </c>
      <c r="L62" s="9"/>
      <c r="M62" s="20" t="s">
        <v>70</v>
      </c>
      <c r="N62" s="20" t="s">
        <v>383</v>
      </c>
    </row>
    <row r="63" spans="1:14" ht="60" customHeight="1">
      <c r="A63" s="8" t="s">
        <v>384</v>
      </c>
      <c r="B63" s="9" t="s">
        <v>385</v>
      </c>
      <c r="C63" s="9" t="s">
        <v>386</v>
      </c>
      <c r="D63" s="9" t="s">
        <v>387</v>
      </c>
      <c r="E63" s="9" t="s">
        <v>388</v>
      </c>
      <c r="F63" s="8"/>
      <c r="G63" t="s">
        <v>77</v>
      </c>
      <c r="H63" s="8"/>
      <c r="I63" s="8" t="s">
        <v>92</v>
      </c>
      <c r="J63" s="8" t="s">
        <v>85</v>
      </c>
      <c r="K63" s="8" t="s">
        <v>69</v>
      </c>
      <c r="L63" s="9"/>
      <c r="M63" s="20" t="s">
        <v>77</v>
      </c>
      <c r="N63" s="20" t="s">
        <v>167</v>
      </c>
    </row>
    <row r="64" spans="1:14" ht="60" customHeight="1">
      <c r="A64" s="8" t="s">
        <v>389</v>
      </c>
      <c r="B64" s="9" t="s">
        <v>390</v>
      </c>
      <c r="C64" s="9" t="s">
        <v>391</v>
      </c>
      <c r="D64" s="9" t="s">
        <v>392</v>
      </c>
      <c r="E64" s="9" t="s">
        <v>393</v>
      </c>
      <c r="F64" s="8"/>
      <c r="G64" t="s">
        <v>77</v>
      </c>
      <c r="H64" s="8"/>
      <c r="I64" s="8" t="s">
        <v>67</v>
      </c>
      <c r="J64" s="8" t="s">
        <v>93</v>
      </c>
      <c r="K64" s="8" t="s">
        <v>69</v>
      </c>
      <c r="L64" s="9"/>
      <c r="M64" s="20" t="s">
        <v>70</v>
      </c>
      <c r="N64" s="20" t="s">
        <v>394</v>
      </c>
    </row>
    <row r="65" spans="1:14" ht="60" customHeight="1">
      <c r="A65" s="8" t="s">
        <v>395</v>
      </c>
      <c r="B65" s="9" t="s">
        <v>396</v>
      </c>
      <c r="C65" s="9" t="s">
        <v>397</v>
      </c>
      <c r="D65" s="9" t="s">
        <v>398</v>
      </c>
      <c r="E65" s="9" t="s">
        <v>399</v>
      </c>
      <c r="F65" s="8"/>
      <c r="G65" t="s">
        <v>77</v>
      </c>
      <c r="H65" s="8"/>
      <c r="I65" s="8" t="s">
        <v>92</v>
      </c>
      <c r="J65" s="8" t="s">
        <v>68</v>
      </c>
      <c r="K65" s="8" t="s">
        <v>69</v>
      </c>
      <c r="L65" s="9"/>
      <c r="M65" s="20" t="s">
        <v>77</v>
      </c>
      <c r="N65" s="20" t="s">
        <v>400</v>
      </c>
    </row>
    <row r="66" spans="1:14" ht="60" customHeight="1">
      <c r="A66" s="8" t="s">
        <v>401</v>
      </c>
      <c r="B66" s="9" t="s">
        <v>402</v>
      </c>
      <c r="C66" s="9" t="s">
        <v>342</v>
      </c>
      <c r="D66" s="9" t="s">
        <v>403</v>
      </c>
      <c r="E66" s="9" t="s">
        <v>404</v>
      </c>
      <c r="F66" s="8"/>
      <c r="G66" t="s">
        <v>77</v>
      </c>
      <c r="H66" s="8"/>
      <c r="I66" s="8" t="s">
        <v>92</v>
      </c>
      <c r="J66" s="8" t="s">
        <v>85</v>
      </c>
      <c r="K66" s="8" t="s">
        <v>69</v>
      </c>
      <c r="L66" s="9"/>
      <c r="M66" s="20" t="s">
        <v>77</v>
      </c>
      <c r="N66" s="20" t="s">
        <v>94</v>
      </c>
    </row>
    <row r="67" spans="1:14" ht="60" customHeight="1">
      <c r="A67" s="8" t="s">
        <v>405</v>
      </c>
      <c r="B67" s="9" t="s">
        <v>406</v>
      </c>
      <c r="C67" s="9" t="s">
        <v>407</v>
      </c>
      <c r="D67" s="9" t="s">
        <v>408</v>
      </c>
      <c r="E67" s="9" t="s">
        <v>409</v>
      </c>
      <c r="F67" s="8"/>
      <c r="G67" t="s">
        <v>77</v>
      </c>
      <c r="H67" s="8"/>
      <c r="I67" s="8" t="s">
        <v>92</v>
      </c>
      <c r="J67" s="8" t="s">
        <v>68</v>
      </c>
      <c r="K67" s="8" t="s">
        <v>69</v>
      </c>
      <c r="L67" s="9"/>
      <c r="M67" s="20" t="s">
        <v>70</v>
      </c>
      <c r="N67" s="20" t="s">
        <v>410</v>
      </c>
    </row>
    <row r="68" spans="1:14" ht="60" customHeight="1">
      <c r="A68" s="8" t="s">
        <v>411</v>
      </c>
      <c r="B68" s="9" t="s">
        <v>412</v>
      </c>
      <c r="C68" s="9" t="s">
        <v>413</v>
      </c>
      <c r="D68" s="9" t="s">
        <v>414</v>
      </c>
      <c r="E68" s="9" t="s">
        <v>415</v>
      </c>
      <c r="F68" s="8"/>
      <c r="G68" t="s">
        <v>77</v>
      </c>
      <c r="H68" s="8"/>
      <c r="I68" s="8" t="s">
        <v>67</v>
      </c>
      <c r="J68" s="8" t="s">
        <v>68</v>
      </c>
      <c r="K68" s="8" t="s">
        <v>69</v>
      </c>
      <c r="L68" s="9"/>
      <c r="M68" s="20" t="s">
        <v>70</v>
      </c>
      <c r="N68" s="20" t="s">
        <v>416</v>
      </c>
    </row>
    <row r="69" spans="1:14" ht="60" customHeight="1">
      <c r="A69" s="8" t="s">
        <v>417</v>
      </c>
      <c r="B69" s="9" t="s">
        <v>418</v>
      </c>
      <c r="C69" s="9" t="s">
        <v>419</v>
      </c>
      <c r="D69" s="9" t="s">
        <v>420</v>
      </c>
      <c r="E69" s="9" t="s">
        <v>421</v>
      </c>
      <c r="F69" s="8"/>
      <c r="G69" t="s">
        <v>77</v>
      </c>
      <c r="H69" s="8"/>
      <c r="I69" s="8" t="s">
        <v>422</v>
      </c>
      <c r="J69" s="8" t="s">
        <v>68</v>
      </c>
      <c r="K69" s="8" t="s">
        <v>306</v>
      </c>
      <c r="L69" s="9"/>
      <c r="M69" s="20" t="s">
        <v>77</v>
      </c>
      <c r="N69" s="20" t="s">
        <v>94</v>
      </c>
    </row>
    <row r="70" spans="1:14" ht="20.100000000000001" customHeight="1">
      <c r="A70" s="25" t="s">
        <v>423</v>
      </c>
      <c r="B70" s="28"/>
      <c r="C70" s="28"/>
      <c r="D70" s="28"/>
      <c r="E70" s="28"/>
      <c r="F70" s="28"/>
      <c r="G70" s="28"/>
      <c r="H70" s="28"/>
      <c r="I70" s="28"/>
      <c r="J70" s="28"/>
      <c r="K70" s="28"/>
      <c r="L70" s="29"/>
    </row>
    <row r="71" spans="1:14" ht="60" customHeight="1">
      <c r="A71" s="8" t="s">
        <v>424</v>
      </c>
      <c r="B71" s="9" t="s">
        <v>425</v>
      </c>
      <c r="C71" s="9" t="s">
        <v>426</v>
      </c>
      <c r="D71" s="9" t="s">
        <v>427</v>
      </c>
      <c r="E71" s="9" t="s">
        <v>428</v>
      </c>
      <c r="F71" s="8"/>
      <c r="G71" t="s">
        <v>66</v>
      </c>
      <c r="H71" s="8"/>
      <c r="I71" s="8" t="s">
        <v>67</v>
      </c>
      <c r="J71" s="8" t="s">
        <v>68</v>
      </c>
      <c r="K71" s="8" t="s">
        <v>69</v>
      </c>
      <c r="L71" s="9"/>
      <c r="M71" s="20" t="s">
        <v>70</v>
      </c>
      <c r="N71" s="20" t="s">
        <v>429</v>
      </c>
    </row>
    <row r="72" spans="1:14" ht="60" customHeight="1">
      <c r="A72" s="8" t="s">
        <v>430</v>
      </c>
      <c r="B72" s="9" t="s">
        <v>431</v>
      </c>
      <c r="C72" s="9" t="s">
        <v>432</v>
      </c>
      <c r="D72" s="9" t="s">
        <v>433</v>
      </c>
      <c r="E72" s="9" t="s">
        <v>434</v>
      </c>
      <c r="F72" s="8"/>
      <c r="G72" t="s">
        <v>66</v>
      </c>
      <c r="H72" s="8"/>
      <c r="I72" s="8" t="s">
        <v>113</v>
      </c>
      <c r="J72" s="8" t="s">
        <v>68</v>
      </c>
      <c r="K72" s="8" t="s">
        <v>69</v>
      </c>
      <c r="L72" s="9"/>
      <c r="M72" s="20" t="s">
        <v>70</v>
      </c>
      <c r="N72" s="20" t="s">
        <v>435</v>
      </c>
    </row>
    <row r="73" spans="1:14" ht="60" customHeight="1">
      <c r="A73" s="8" t="s">
        <v>436</v>
      </c>
      <c r="B73" s="9" t="s">
        <v>437</v>
      </c>
      <c r="C73" s="9" t="s">
        <v>438</v>
      </c>
      <c r="D73" s="9" t="s">
        <v>439</v>
      </c>
      <c r="E73" s="9" t="s">
        <v>440</v>
      </c>
      <c r="F73" s="8"/>
      <c r="G73" t="s">
        <v>66</v>
      </c>
      <c r="H73" s="8"/>
      <c r="I73" s="8" t="s">
        <v>67</v>
      </c>
      <c r="J73" s="8" t="s">
        <v>68</v>
      </c>
      <c r="K73" s="8" t="s">
        <v>69</v>
      </c>
      <c r="L73" s="9"/>
      <c r="M73" s="20" t="s">
        <v>70</v>
      </c>
      <c r="N73" s="20" t="s">
        <v>441</v>
      </c>
    </row>
    <row r="74" spans="1:14" ht="60" customHeight="1">
      <c r="A74" s="8" t="s">
        <v>442</v>
      </c>
      <c r="B74" s="9" t="s">
        <v>443</v>
      </c>
      <c r="C74" s="9" t="s">
        <v>438</v>
      </c>
      <c r="D74" s="9" t="s">
        <v>444</v>
      </c>
      <c r="E74" s="9" t="s">
        <v>445</v>
      </c>
      <c r="F74" s="8"/>
      <c r="G74" t="s">
        <v>66</v>
      </c>
      <c r="H74" s="8"/>
      <c r="I74" s="8" t="s">
        <v>67</v>
      </c>
      <c r="J74" s="8" t="s">
        <v>68</v>
      </c>
      <c r="K74" s="8" t="s">
        <v>69</v>
      </c>
      <c r="L74" s="9"/>
      <c r="M74" s="20" t="s">
        <v>70</v>
      </c>
      <c r="N74" s="20" t="s">
        <v>446</v>
      </c>
    </row>
    <row r="75" spans="1:14" ht="60" customHeight="1">
      <c r="A75" s="8" t="s">
        <v>447</v>
      </c>
      <c r="B75" s="9" t="s">
        <v>448</v>
      </c>
      <c r="C75" s="9" t="s">
        <v>449</v>
      </c>
      <c r="D75" s="9" t="s">
        <v>450</v>
      </c>
      <c r="E75" s="9" t="s">
        <v>451</v>
      </c>
      <c r="F75" s="8"/>
      <c r="G75" t="s">
        <v>77</v>
      </c>
      <c r="H75" s="8"/>
      <c r="I75" s="8" t="s">
        <v>92</v>
      </c>
      <c r="J75" s="8" t="s">
        <v>68</v>
      </c>
      <c r="K75" s="8" t="s">
        <v>69</v>
      </c>
      <c r="L75" s="9"/>
      <c r="M75" s="20" t="s">
        <v>77</v>
      </c>
      <c r="N75" s="20" t="s">
        <v>452</v>
      </c>
    </row>
    <row r="76" spans="1:14" ht="60" customHeight="1">
      <c r="A76" s="8" t="s">
        <v>453</v>
      </c>
      <c r="B76" s="9" t="s">
        <v>454</v>
      </c>
      <c r="C76" s="9" t="s">
        <v>455</v>
      </c>
      <c r="D76" s="9" t="s">
        <v>456</v>
      </c>
      <c r="E76" s="9" t="s">
        <v>457</v>
      </c>
      <c r="F76" s="8"/>
      <c r="G76" t="s">
        <v>77</v>
      </c>
      <c r="H76" s="8"/>
      <c r="I76" s="8" t="s">
        <v>92</v>
      </c>
      <c r="J76" s="8" t="s">
        <v>68</v>
      </c>
      <c r="K76" s="8" t="s">
        <v>69</v>
      </c>
      <c r="L76" s="9"/>
      <c r="M76" s="20" t="s">
        <v>77</v>
      </c>
      <c r="N76" s="20" t="s">
        <v>458</v>
      </c>
    </row>
    <row r="77" spans="1:14" ht="60" customHeight="1">
      <c r="A77" s="8" t="s">
        <v>459</v>
      </c>
      <c r="B77" s="9" t="s">
        <v>460</v>
      </c>
      <c r="C77" s="9" t="s">
        <v>461</v>
      </c>
      <c r="D77" s="9" t="s">
        <v>462</v>
      </c>
      <c r="E77" s="9" t="s">
        <v>463</v>
      </c>
      <c r="F77" s="8"/>
      <c r="G77" t="s">
        <v>227</v>
      </c>
      <c r="H77" s="8"/>
      <c r="I77" s="8" t="s">
        <v>92</v>
      </c>
      <c r="J77" s="8" t="s">
        <v>85</v>
      </c>
      <c r="K77" s="8" t="s">
        <v>69</v>
      </c>
      <c r="L77" s="9"/>
      <c r="M77" s="20" t="s">
        <v>70</v>
      </c>
      <c r="N77" s="20" t="s">
        <v>464</v>
      </c>
    </row>
    <row r="78" spans="1:14" ht="60" customHeight="1">
      <c r="A78" s="8" t="s">
        <v>465</v>
      </c>
      <c r="B78" s="9" t="s">
        <v>466</v>
      </c>
      <c r="C78" s="9" t="s">
        <v>467</v>
      </c>
      <c r="D78" s="9" t="s">
        <v>468</v>
      </c>
      <c r="E78" s="9" t="s">
        <v>469</v>
      </c>
      <c r="F78" s="8"/>
      <c r="G78" t="s">
        <v>77</v>
      </c>
      <c r="H78" s="8"/>
      <c r="I78" s="8" t="s">
        <v>92</v>
      </c>
      <c r="J78" s="8" t="s">
        <v>85</v>
      </c>
      <c r="K78" s="8" t="s">
        <v>69</v>
      </c>
      <c r="L78" s="9"/>
      <c r="M78" s="20" t="s">
        <v>77</v>
      </c>
      <c r="N78" s="20" t="s">
        <v>470</v>
      </c>
    </row>
    <row r="79" spans="1:14" ht="60" customHeight="1">
      <c r="A79" s="8" t="s">
        <v>471</v>
      </c>
      <c r="B79" s="9" t="s">
        <v>472</v>
      </c>
      <c r="C79" s="9" t="s">
        <v>473</v>
      </c>
      <c r="D79" s="9" t="s">
        <v>474</v>
      </c>
      <c r="E79" s="9" t="s">
        <v>475</v>
      </c>
      <c r="F79" s="8"/>
      <c r="G79" t="s">
        <v>77</v>
      </c>
      <c r="H79" s="8"/>
      <c r="I79" s="8" t="s">
        <v>67</v>
      </c>
      <c r="J79" s="8" t="s">
        <v>85</v>
      </c>
      <c r="K79" s="8" t="s">
        <v>69</v>
      </c>
      <c r="L79" s="9"/>
      <c r="M79" s="20" t="s">
        <v>77</v>
      </c>
      <c r="N79" s="20" t="s">
        <v>167</v>
      </c>
    </row>
    <row r="80" spans="1:14" ht="60" customHeight="1">
      <c r="A80" s="8" t="s">
        <v>476</v>
      </c>
      <c r="B80" s="9" t="s">
        <v>477</v>
      </c>
      <c r="C80" s="9" t="s">
        <v>478</v>
      </c>
      <c r="D80" s="9" t="s">
        <v>479</v>
      </c>
      <c r="E80" s="9" t="s">
        <v>480</v>
      </c>
      <c r="F80" s="8"/>
      <c r="G80" t="s">
        <v>77</v>
      </c>
      <c r="H80" s="8"/>
      <c r="I80" s="8" t="s">
        <v>67</v>
      </c>
      <c r="J80" s="8" t="s">
        <v>68</v>
      </c>
      <c r="K80" s="8" t="s">
        <v>69</v>
      </c>
      <c r="L80" s="9"/>
      <c r="M80" s="20" t="s">
        <v>70</v>
      </c>
      <c r="N80" s="20" t="s">
        <v>481</v>
      </c>
    </row>
    <row r="81" spans="1:14" ht="60" customHeight="1">
      <c r="A81" s="8" t="s">
        <v>482</v>
      </c>
      <c r="B81" s="9" t="s">
        <v>483</v>
      </c>
      <c r="C81" s="9" t="s">
        <v>419</v>
      </c>
      <c r="D81" s="9" t="s">
        <v>484</v>
      </c>
      <c r="E81" s="9" t="s">
        <v>485</v>
      </c>
      <c r="F81" s="8"/>
      <c r="G81" t="s">
        <v>77</v>
      </c>
      <c r="H81" s="8"/>
      <c r="I81" s="8" t="s">
        <v>92</v>
      </c>
      <c r="J81" s="8" t="s">
        <v>85</v>
      </c>
      <c r="K81" s="8" t="s">
        <v>69</v>
      </c>
      <c r="L81" s="9"/>
      <c r="M81" s="20" t="s">
        <v>77</v>
      </c>
      <c r="N81" s="20" t="s">
        <v>94</v>
      </c>
    </row>
    <row r="82" spans="1:14" ht="60" customHeight="1">
      <c r="A82" s="8" t="s">
        <v>486</v>
      </c>
      <c r="B82" s="9" t="s">
        <v>487</v>
      </c>
      <c r="C82" s="9" t="s">
        <v>488</v>
      </c>
      <c r="D82" s="9" t="s">
        <v>489</v>
      </c>
      <c r="E82" s="9" t="s">
        <v>490</v>
      </c>
      <c r="F82" s="8"/>
      <c r="G82" t="s">
        <v>66</v>
      </c>
      <c r="H82" s="8"/>
      <c r="I82" s="8" t="s">
        <v>113</v>
      </c>
      <c r="J82" s="8" t="s">
        <v>85</v>
      </c>
      <c r="K82" s="8" t="s">
        <v>69</v>
      </c>
      <c r="L82" s="9"/>
      <c r="M82" s="20" t="s">
        <v>70</v>
      </c>
      <c r="N82" s="20" t="s">
        <v>491</v>
      </c>
    </row>
    <row r="83" spans="1:14" ht="60" customHeight="1">
      <c r="A83" s="8" t="s">
        <v>492</v>
      </c>
      <c r="B83" s="9" t="s">
        <v>493</v>
      </c>
      <c r="C83" s="9" t="s">
        <v>494</v>
      </c>
      <c r="D83" s="9" t="s">
        <v>495</v>
      </c>
      <c r="E83" s="9" t="s">
        <v>496</v>
      </c>
      <c r="F83" s="8"/>
      <c r="G83" t="s">
        <v>77</v>
      </c>
      <c r="H83" s="8"/>
      <c r="I83" s="8" t="s">
        <v>92</v>
      </c>
      <c r="J83" s="8" t="s">
        <v>68</v>
      </c>
      <c r="K83" s="8" t="s">
        <v>69</v>
      </c>
      <c r="L83" s="9"/>
      <c r="M83" s="20" t="s">
        <v>70</v>
      </c>
      <c r="N83" s="20" t="s">
        <v>497</v>
      </c>
    </row>
    <row r="84" spans="1:14" ht="60" customHeight="1">
      <c r="A84" s="8" t="s">
        <v>498</v>
      </c>
      <c r="B84" s="9" t="s">
        <v>499</v>
      </c>
      <c r="C84" s="9" t="s">
        <v>500</v>
      </c>
      <c r="D84" s="9" t="s">
        <v>501</v>
      </c>
      <c r="E84" s="9" t="s">
        <v>502</v>
      </c>
      <c r="F84" s="8"/>
      <c r="G84" t="s">
        <v>77</v>
      </c>
      <c r="H84" s="8"/>
      <c r="I84" s="8" t="s">
        <v>92</v>
      </c>
      <c r="J84" s="8" t="s">
        <v>68</v>
      </c>
      <c r="K84" s="8" t="s">
        <v>69</v>
      </c>
      <c r="L84" s="9"/>
      <c r="M84" s="20" t="s">
        <v>70</v>
      </c>
      <c r="N84" s="20" t="s">
        <v>503</v>
      </c>
    </row>
    <row r="85" spans="1:14" ht="60" customHeight="1">
      <c r="A85" s="8" t="s">
        <v>504</v>
      </c>
      <c r="B85" s="9" t="s">
        <v>505</v>
      </c>
      <c r="C85" s="9" t="s">
        <v>506</v>
      </c>
      <c r="D85" s="9" t="s">
        <v>507</v>
      </c>
      <c r="E85" s="9" t="s">
        <v>508</v>
      </c>
      <c r="F85" s="8"/>
      <c r="G85" t="s">
        <v>77</v>
      </c>
      <c r="H85" s="8"/>
      <c r="I85" s="8" t="s">
        <v>113</v>
      </c>
      <c r="J85" s="8" t="s">
        <v>68</v>
      </c>
      <c r="K85" s="8" t="s">
        <v>69</v>
      </c>
      <c r="L85" s="9"/>
      <c r="M85" s="20" t="s">
        <v>70</v>
      </c>
      <c r="N85" s="20" t="s">
        <v>214</v>
      </c>
    </row>
    <row r="86" spans="1:14" ht="60" customHeight="1">
      <c r="A86" s="8" t="s">
        <v>509</v>
      </c>
      <c r="B86" s="9" t="s">
        <v>510</v>
      </c>
      <c r="C86" s="9" t="s">
        <v>511</v>
      </c>
      <c r="D86" s="9" t="s">
        <v>512</v>
      </c>
      <c r="E86" s="9" t="s">
        <v>513</v>
      </c>
      <c r="F86" s="8"/>
      <c r="G86" t="s">
        <v>77</v>
      </c>
      <c r="H86" s="8"/>
      <c r="I86" s="8" t="s">
        <v>514</v>
      </c>
      <c r="J86" s="8" t="s">
        <v>68</v>
      </c>
      <c r="K86" s="8" t="s">
        <v>69</v>
      </c>
      <c r="L86" s="9"/>
      <c r="M86" s="20" t="s">
        <v>77</v>
      </c>
      <c r="N86" s="20" t="s">
        <v>167</v>
      </c>
    </row>
    <row r="87" spans="1:14" ht="60" customHeight="1">
      <c r="A87" s="8" t="s">
        <v>515</v>
      </c>
      <c r="B87" s="9" t="s">
        <v>516</v>
      </c>
      <c r="C87" s="9" t="s">
        <v>517</v>
      </c>
      <c r="D87" s="9" t="s">
        <v>518</v>
      </c>
      <c r="E87" s="9" t="s">
        <v>519</v>
      </c>
      <c r="F87" s="8"/>
      <c r="G87" t="s">
        <v>77</v>
      </c>
      <c r="H87" s="8"/>
      <c r="I87" s="8" t="s">
        <v>113</v>
      </c>
      <c r="J87" s="8" t="s">
        <v>85</v>
      </c>
      <c r="K87" s="8" t="s">
        <v>69</v>
      </c>
      <c r="L87" s="9"/>
      <c r="M87" s="20" t="s">
        <v>77</v>
      </c>
      <c r="N87" s="20" t="s">
        <v>520</v>
      </c>
    </row>
    <row r="88" spans="1:14" ht="20.100000000000001" customHeight="1">
      <c r="A88" s="25" t="s">
        <v>521</v>
      </c>
      <c r="B88" s="28"/>
      <c r="C88" s="28"/>
      <c r="D88" s="28"/>
      <c r="E88" s="28"/>
      <c r="F88" s="28"/>
      <c r="G88" s="28"/>
      <c r="H88" s="28"/>
      <c r="I88" s="28"/>
      <c r="J88" s="28"/>
      <c r="K88" s="28"/>
      <c r="L88" s="29"/>
    </row>
    <row r="89" spans="1:14" ht="60" customHeight="1">
      <c r="A89" s="8" t="s">
        <v>522</v>
      </c>
      <c r="B89" s="9" t="s">
        <v>523</v>
      </c>
      <c r="C89" s="9" t="s">
        <v>524</v>
      </c>
      <c r="D89" s="9" t="s">
        <v>525</v>
      </c>
      <c r="E89" s="9" t="s">
        <v>526</v>
      </c>
      <c r="F89" s="8"/>
      <c r="G89" t="s">
        <v>66</v>
      </c>
      <c r="H89" s="8"/>
      <c r="I89" s="8" t="s">
        <v>67</v>
      </c>
      <c r="J89" s="8" t="s">
        <v>68</v>
      </c>
      <c r="K89" s="8" t="s">
        <v>69</v>
      </c>
      <c r="L89" s="9"/>
      <c r="M89" s="20" t="s">
        <v>77</v>
      </c>
      <c r="N89" s="20" t="s">
        <v>94</v>
      </c>
    </row>
    <row r="90" spans="1:14" ht="60" customHeight="1">
      <c r="A90" s="8" t="s">
        <v>527</v>
      </c>
      <c r="B90" s="9" t="s">
        <v>528</v>
      </c>
      <c r="C90" s="9" t="s">
        <v>529</v>
      </c>
      <c r="D90" s="9" t="s">
        <v>530</v>
      </c>
      <c r="E90" s="9" t="s">
        <v>531</v>
      </c>
      <c r="F90" s="8"/>
      <c r="G90" t="s">
        <v>77</v>
      </c>
      <c r="H90" s="8"/>
      <c r="I90" s="8" t="s">
        <v>92</v>
      </c>
      <c r="J90" s="8" t="s">
        <v>85</v>
      </c>
      <c r="K90" s="8" t="s">
        <v>69</v>
      </c>
      <c r="L90" s="9"/>
      <c r="M90" s="20" t="s">
        <v>77</v>
      </c>
      <c r="N90" s="20" t="s">
        <v>94</v>
      </c>
    </row>
    <row r="91" spans="1:14" ht="60" customHeight="1">
      <c r="A91" s="8" t="s">
        <v>532</v>
      </c>
      <c r="B91" s="9" t="s">
        <v>533</v>
      </c>
      <c r="C91" s="9" t="s">
        <v>534</v>
      </c>
      <c r="D91" s="9" t="s">
        <v>535</v>
      </c>
      <c r="E91" s="9" t="s">
        <v>536</v>
      </c>
      <c r="F91" s="8"/>
      <c r="G91" t="s">
        <v>66</v>
      </c>
      <c r="H91" s="8"/>
      <c r="I91" s="8" t="s">
        <v>67</v>
      </c>
      <c r="J91" s="8" t="s">
        <v>68</v>
      </c>
      <c r="K91" s="8" t="s">
        <v>69</v>
      </c>
      <c r="L91" s="9"/>
      <c r="M91" s="20" t="s">
        <v>70</v>
      </c>
      <c r="N91" s="20" t="s">
        <v>537</v>
      </c>
    </row>
    <row r="92" spans="1:14" ht="60" customHeight="1">
      <c r="A92" s="8" t="s">
        <v>538</v>
      </c>
      <c r="B92" s="9" t="s">
        <v>539</v>
      </c>
      <c r="C92" s="9" t="s">
        <v>540</v>
      </c>
      <c r="D92" s="9" t="s">
        <v>541</v>
      </c>
      <c r="E92" s="9" t="s">
        <v>542</v>
      </c>
      <c r="F92" s="8"/>
      <c r="G92" t="s">
        <v>66</v>
      </c>
      <c r="H92" s="8"/>
      <c r="I92" s="8" t="s">
        <v>113</v>
      </c>
      <c r="J92" s="8" t="s">
        <v>93</v>
      </c>
      <c r="K92" s="8" t="s">
        <v>69</v>
      </c>
      <c r="L92" s="9"/>
      <c r="M92" s="20" t="s">
        <v>70</v>
      </c>
      <c r="N92" s="20" t="s">
        <v>543</v>
      </c>
    </row>
    <row r="93" spans="1:14" ht="60" customHeight="1">
      <c r="A93" s="8" t="s">
        <v>544</v>
      </c>
      <c r="B93" s="9" t="s">
        <v>545</v>
      </c>
      <c r="C93" s="9" t="s">
        <v>546</v>
      </c>
      <c r="D93" s="9" t="s">
        <v>547</v>
      </c>
      <c r="E93" s="9" t="s">
        <v>548</v>
      </c>
      <c r="F93" s="8"/>
      <c r="G93" t="s">
        <v>77</v>
      </c>
      <c r="H93" s="8"/>
      <c r="I93" s="8" t="s">
        <v>92</v>
      </c>
      <c r="J93" s="8" t="s">
        <v>85</v>
      </c>
      <c r="K93" s="8" t="s">
        <v>69</v>
      </c>
      <c r="L93" s="9"/>
      <c r="M93" s="20" t="s">
        <v>77</v>
      </c>
      <c r="N93" s="20" t="s">
        <v>167</v>
      </c>
    </row>
    <row r="94" spans="1:14" ht="60" customHeight="1">
      <c r="A94" s="8" t="s">
        <v>549</v>
      </c>
      <c r="B94" s="9" t="s">
        <v>550</v>
      </c>
      <c r="C94" s="9" t="s">
        <v>551</v>
      </c>
      <c r="D94" s="9" t="s">
        <v>552</v>
      </c>
      <c r="E94" s="9" t="s">
        <v>553</v>
      </c>
      <c r="F94" s="8"/>
      <c r="G94" t="s">
        <v>66</v>
      </c>
      <c r="H94" s="8"/>
      <c r="I94" s="8" t="s">
        <v>67</v>
      </c>
      <c r="J94" s="8" t="s">
        <v>68</v>
      </c>
      <c r="K94" s="8" t="s">
        <v>69</v>
      </c>
      <c r="L94" s="9"/>
      <c r="M94" s="20" t="s">
        <v>70</v>
      </c>
      <c r="N94" s="20" t="s">
        <v>554</v>
      </c>
    </row>
    <row r="95" spans="1:14" ht="60" customHeight="1">
      <c r="A95" s="8" t="s">
        <v>555</v>
      </c>
      <c r="B95" s="9" t="s">
        <v>556</v>
      </c>
      <c r="C95" s="9" t="s">
        <v>557</v>
      </c>
      <c r="D95" s="9" t="s">
        <v>558</v>
      </c>
      <c r="E95" s="9" t="s">
        <v>559</v>
      </c>
      <c r="F95" s="8"/>
      <c r="G95" t="s">
        <v>66</v>
      </c>
      <c r="H95" s="8"/>
      <c r="I95" s="8" t="s">
        <v>113</v>
      </c>
      <c r="J95" s="8" t="s">
        <v>68</v>
      </c>
      <c r="K95" s="8" t="s">
        <v>69</v>
      </c>
      <c r="L95" s="9"/>
      <c r="M95" s="20" t="s">
        <v>70</v>
      </c>
      <c r="N95" s="20" t="s">
        <v>560</v>
      </c>
    </row>
    <row r="96" spans="1:14" ht="60" customHeight="1">
      <c r="A96" s="8" t="s">
        <v>561</v>
      </c>
      <c r="B96" s="9" t="s">
        <v>562</v>
      </c>
      <c r="C96" s="9" t="s">
        <v>563</v>
      </c>
      <c r="D96" s="9" t="s">
        <v>564</v>
      </c>
      <c r="E96" s="9" t="s">
        <v>565</v>
      </c>
      <c r="F96" s="8"/>
      <c r="G96" t="s">
        <v>66</v>
      </c>
      <c r="H96" s="8"/>
      <c r="I96" s="8" t="s">
        <v>67</v>
      </c>
      <c r="J96" s="8" t="s">
        <v>85</v>
      </c>
      <c r="K96" s="8" t="s">
        <v>69</v>
      </c>
      <c r="L96" s="9"/>
      <c r="M96" s="20" t="s">
        <v>70</v>
      </c>
      <c r="N96" s="20" t="s">
        <v>566</v>
      </c>
    </row>
    <row r="97" spans="1:14" ht="20.100000000000001" customHeight="1">
      <c r="A97" s="25" t="s">
        <v>567</v>
      </c>
      <c r="B97" s="28"/>
      <c r="C97" s="28"/>
      <c r="D97" s="28"/>
      <c r="E97" s="28"/>
      <c r="F97" s="28"/>
      <c r="G97" s="28"/>
      <c r="H97" s="28"/>
      <c r="I97" s="28"/>
      <c r="J97" s="28"/>
      <c r="K97" s="28"/>
      <c r="L97" s="29"/>
    </row>
    <row r="98" spans="1:14" ht="60" customHeight="1">
      <c r="A98" s="8" t="s">
        <v>568</v>
      </c>
      <c r="B98" s="9" t="s">
        <v>569</v>
      </c>
      <c r="C98" s="9" t="s">
        <v>570</v>
      </c>
      <c r="D98" s="9" t="s">
        <v>571</v>
      </c>
      <c r="E98" s="9" t="s">
        <v>572</v>
      </c>
      <c r="F98" s="8"/>
      <c r="G98" t="s">
        <v>77</v>
      </c>
      <c r="H98" s="8"/>
      <c r="I98" s="8" t="s">
        <v>67</v>
      </c>
      <c r="J98" s="8" t="s">
        <v>68</v>
      </c>
      <c r="K98" s="8" t="s">
        <v>69</v>
      </c>
      <c r="L98" s="9"/>
      <c r="M98" s="20" t="s">
        <v>70</v>
      </c>
      <c r="N98" s="20" t="s">
        <v>573</v>
      </c>
    </row>
    <row r="99" spans="1:14" ht="60" customHeight="1">
      <c r="A99" s="8" t="s">
        <v>574</v>
      </c>
      <c r="B99" s="9" t="s">
        <v>575</v>
      </c>
      <c r="C99" s="9" t="s">
        <v>576</v>
      </c>
      <c r="D99" s="9" t="s">
        <v>577</v>
      </c>
      <c r="E99" s="9" t="s">
        <v>578</v>
      </c>
      <c r="F99" s="8"/>
      <c r="G99" t="s">
        <v>77</v>
      </c>
      <c r="H99" s="8"/>
      <c r="I99" s="8" t="s">
        <v>113</v>
      </c>
      <c r="J99" s="8" t="s">
        <v>68</v>
      </c>
      <c r="K99" s="8" t="s">
        <v>69</v>
      </c>
      <c r="L99" s="9"/>
      <c r="M99" s="20" t="s">
        <v>70</v>
      </c>
      <c r="N99" s="20" t="s">
        <v>579</v>
      </c>
    </row>
    <row r="100" spans="1:14" ht="60" customHeight="1">
      <c r="A100" s="8" t="s">
        <v>580</v>
      </c>
      <c r="B100" s="9" t="s">
        <v>581</v>
      </c>
      <c r="C100" s="9" t="s">
        <v>582</v>
      </c>
      <c r="D100" s="9" t="s">
        <v>583</v>
      </c>
      <c r="E100" s="9" t="s">
        <v>584</v>
      </c>
      <c r="F100" s="8"/>
      <c r="G100" t="s">
        <v>77</v>
      </c>
      <c r="H100" s="8"/>
      <c r="I100" s="8" t="s">
        <v>67</v>
      </c>
      <c r="J100" s="8" t="s">
        <v>68</v>
      </c>
      <c r="K100" s="8" t="s">
        <v>69</v>
      </c>
      <c r="L100" s="9"/>
      <c r="M100" s="20" t="s">
        <v>70</v>
      </c>
      <c r="N100" s="20" t="s">
        <v>585</v>
      </c>
    </row>
    <row r="101" spans="1:14" ht="60" customHeight="1">
      <c r="A101" s="8" t="s">
        <v>586</v>
      </c>
      <c r="B101" s="9" t="s">
        <v>587</v>
      </c>
      <c r="C101" s="9" t="s">
        <v>588</v>
      </c>
      <c r="D101" s="9" t="s">
        <v>589</v>
      </c>
      <c r="E101" s="9" t="s">
        <v>590</v>
      </c>
      <c r="F101" s="8"/>
      <c r="G101" t="s">
        <v>77</v>
      </c>
      <c r="H101" s="8"/>
      <c r="I101" s="8" t="s">
        <v>113</v>
      </c>
      <c r="J101" s="8" t="s">
        <v>68</v>
      </c>
      <c r="K101" s="8" t="s">
        <v>69</v>
      </c>
      <c r="L101" s="9"/>
      <c r="M101" s="20" t="s">
        <v>70</v>
      </c>
      <c r="N101" s="20" t="s">
        <v>591</v>
      </c>
    </row>
    <row r="102" spans="1:14" ht="60" customHeight="1">
      <c r="A102" s="8" t="s">
        <v>592</v>
      </c>
      <c r="B102" s="9" t="s">
        <v>593</v>
      </c>
      <c r="C102" s="9" t="s">
        <v>594</v>
      </c>
      <c r="D102" s="9" t="s">
        <v>595</v>
      </c>
      <c r="E102" s="9" t="s">
        <v>596</v>
      </c>
      <c r="F102" s="8"/>
      <c r="G102" t="s">
        <v>77</v>
      </c>
      <c r="H102" s="8"/>
      <c r="I102" s="8" t="s">
        <v>67</v>
      </c>
      <c r="J102" s="8" t="s">
        <v>68</v>
      </c>
      <c r="K102" s="8" t="s">
        <v>69</v>
      </c>
      <c r="L102" s="9"/>
      <c r="M102" s="20" t="s">
        <v>70</v>
      </c>
      <c r="N102" s="20" t="s">
        <v>597</v>
      </c>
    </row>
    <row r="103" spans="1:14" ht="60" customHeight="1">
      <c r="A103" s="8" t="s">
        <v>598</v>
      </c>
      <c r="B103" s="9" t="s">
        <v>599</v>
      </c>
      <c r="C103" s="9" t="s">
        <v>600</v>
      </c>
      <c r="D103" s="9" t="s">
        <v>601</v>
      </c>
      <c r="E103" s="9" t="s">
        <v>602</v>
      </c>
      <c r="F103" s="8"/>
      <c r="G103" t="s">
        <v>77</v>
      </c>
      <c r="H103" s="8"/>
      <c r="I103" s="8" t="s">
        <v>67</v>
      </c>
      <c r="J103" s="8" t="s">
        <v>68</v>
      </c>
      <c r="K103" s="8" t="s">
        <v>69</v>
      </c>
      <c r="L103" s="9"/>
      <c r="M103" s="20" t="s">
        <v>70</v>
      </c>
      <c r="N103" s="20" t="s">
        <v>603</v>
      </c>
    </row>
    <row r="104" spans="1:14" ht="60" customHeight="1">
      <c r="A104" s="8" t="s">
        <v>604</v>
      </c>
      <c r="B104" s="9" t="s">
        <v>605</v>
      </c>
      <c r="C104" s="9" t="s">
        <v>606</v>
      </c>
      <c r="D104" s="9" t="s">
        <v>607</v>
      </c>
      <c r="E104" s="9" t="s">
        <v>608</v>
      </c>
      <c r="F104" s="8"/>
      <c r="G104" t="s">
        <v>77</v>
      </c>
      <c r="H104" s="8"/>
      <c r="I104" s="8" t="s">
        <v>113</v>
      </c>
      <c r="J104" s="8" t="s">
        <v>68</v>
      </c>
      <c r="K104" s="8" t="s">
        <v>69</v>
      </c>
      <c r="L104" s="9"/>
      <c r="M104" s="20" t="s">
        <v>70</v>
      </c>
      <c r="N104" s="20" t="s">
        <v>609</v>
      </c>
    </row>
    <row r="105" spans="1:14" ht="60" customHeight="1">
      <c r="A105" s="8" t="s">
        <v>610</v>
      </c>
      <c r="B105" s="9" t="s">
        <v>611</v>
      </c>
      <c r="C105" s="9" t="s">
        <v>612</v>
      </c>
      <c r="D105" s="9" t="s">
        <v>613</v>
      </c>
      <c r="E105" s="9" t="s">
        <v>614</v>
      </c>
      <c r="F105" s="8"/>
      <c r="G105" t="s">
        <v>77</v>
      </c>
      <c r="H105" s="8"/>
      <c r="I105" s="8" t="s">
        <v>113</v>
      </c>
      <c r="J105" s="8" t="s">
        <v>68</v>
      </c>
      <c r="K105" s="8" t="s">
        <v>69</v>
      </c>
      <c r="L105" s="9"/>
      <c r="M105" s="20" t="s">
        <v>70</v>
      </c>
      <c r="N105" s="20" t="s">
        <v>603</v>
      </c>
    </row>
    <row r="106" spans="1:14" ht="60" customHeight="1">
      <c r="A106" s="8" t="s">
        <v>615</v>
      </c>
      <c r="B106" s="9" t="s">
        <v>616</v>
      </c>
      <c r="C106" s="9" t="s">
        <v>617</v>
      </c>
      <c r="D106" s="9" t="s">
        <v>618</v>
      </c>
      <c r="E106" s="9" t="s">
        <v>619</v>
      </c>
      <c r="F106" s="8"/>
      <c r="G106" t="s">
        <v>227</v>
      </c>
      <c r="H106" s="8"/>
      <c r="I106" s="8" t="s">
        <v>92</v>
      </c>
      <c r="J106" s="8" t="s">
        <v>68</v>
      </c>
      <c r="K106" s="8" t="s">
        <v>69</v>
      </c>
      <c r="L106" s="9"/>
      <c r="M106" s="20" t="s">
        <v>77</v>
      </c>
      <c r="N106" s="20" t="s">
        <v>167</v>
      </c>
    </row>
    <row r="107" spans="1:14" ht="60" customHeight="1">
      <c r="A107" s="8" t="s">
        <v>620</v>
      </c>
      <c r="B107" s="9" t="s">
        <v>621</v>
      </c>
      <c r="C107" s="9" t="s">
        <v>622</v>
      </c>
      <c r="D107" s="9" t="s">
        <v>623</v>
      </c>
      <c r="E107" s="9" t="s">
        <v>624</v>
      </c>
      <c r="F107" s="8"/>
      <c r="G107" t="s">
        <v>77</v>
      </c>
      <c r="H107" s="8"/>
      <c r="I107" s="8" t="s">
        <v>67</v>
      </c>
      <c r="J107" s="8" t="s">
        <v>85</v>
      </c>
      <c r="K107" s="8" t="s">
        <v>69</v>
      </c>
      <c r="L107" s="9"/>
      <c r="M107" s="20" t="s">
        <v>70</v>
      </c>
      <c r="N107" s="20" t="s">
        <v>625</v>
      </c>
    </row>
    <row r="108" spans="1:14" ht="60" customHeight="1">
      <c r="A108" s="8" t="s">
        <v>626</v>
      </c>
      <c r="B108" s="9" t="s">
        <v>627</v>
      </c>
      <c r="C108" s="9" t="s">
        <v>628</v>
      </c>
      <c r="D108" s="9" t="s">
        <v>629</v>
      </c>
      <c r="E108" s="9" t="s">
        <v>630</v>
      </c>
      <c r="F108" s="8"/>
      <c r="G108" t="s">
        <v>77</v>
      </c>
      <c r="H108" s="8"/>
      <c r="I108" s="8" t="s">
        <v>84</v>
      </c>
      <c r="J108" s="8" t="s">
        <v>68</v>
      </c>
      <c r="K108" s="8" t="s">
        <v>69</v>
      </c>
      <c r="L108" s="9"/>
      <c r="M108" s="20" t="s">
        <v>70</v>
      </c>
      <c r="N108" s="20" t="s">
        <v>573</v>
      </c>
    </row>
    <row r="109" spans="1:14" ht="60" customHeight="1">
      <c r="A109" s="8" t="s">
        <v>631</v>
      </c>
      <c r="B109" s="9" t="s">
        <v>632</v>
      </c>
      <c r="C109" s="9" t="s">
        <v>633</v>
      </c>
      <c r="D109" s="9" t="s">
        <v>634</v>
      </c>
      <c r="E109" s="9" t="s">
        <v>635</v>
      </c>
      <c r="F109" s="8"/>
      <c r="G109" t="s">
        <v>77</v>
      </c>
      <c r="H109" s="8"/>
      <c r="I109" s="8" t="s">
        <v>67</v>
      </c>
      <c r="J109" s="8" t="s">
        <v>68</v>
      </c>
      <c r="K109" s="8" t="s">
        <v>69</v>
      </c>
      <c r="L109" s="9"/>
      <c r="M109" s="20" t="s">
        <v>70</v>
      </c>
      <c r="N109" s="20" t="s">
        <v>636</v>
      </c>
    </row>
    <row r="110" spans="1:14" ht="60" customHeight="1">
      <c r="A110" s="8" t="s">
        <v>637</v>
      </c>
      <c r="B110" s="9" t="s">
        <v>638</v>
      </c>
      <c r="C110" s="9" t="s">
        <v>639</v>
      </c>
      <c r="D110" s="9" t="s">
        <v>640</v>
      </c>
      <c r="E110" s="9" t="s">
        <v>641</v>
      </c>
      <c r="F110" s="8"/>
      <c r="G110" t="s">
        <v>77</v>
      </c>
      <c r="H110" s="8"/>
      <c r="I110" s="8" t="s">
        <v>113</v>
      </c>
      <c r="J110" s="8" t="s">
        <v>68</v>
      </c>
      <c r="K110" s="8" t="s">
        <v>69</v>
      </c>
      <c r="L110" s="9"/>
      <c r="M110" s="20" t="s">
        <v>70</v>
      </c>
      <c r="N110" s="20" t="s">
        <v>642</v>
      </c>
    </row>
    <row r="111" spans="1:14" ht="60" customHeight="1">
      <c r="A111" s="8" t="s">
        <v>643</v>
      </c>
      <c r="B111" s="9" t="s">
        <v>644</v>
      </c>
      <c r="C111" s="9" t="s">
        <v>645</v>
      </c>
      <c r="D111" s="9" t="s">
        <v>646</v>
      </c>
      <c r="E111" s="9" t="s">
        <v>647</v>
      </c>
      <c r="F111" s="8"/>
      <c r="G111" t="s">
        <v>77</v>
      </c>
      <c r="H111" s="8"/>
      <c r="I111" s="8" t="s">
        <v>113</v>
      </c>
      <c r="J111" s="8" t="s">
        <v>68</v>
      </c>
      <c r="K111" s="8" t="s">
        <v>69</v>
      </c>
      <c r="L111" s="9"/>
      <c r="M111" s="20" t="s">
        <v>70</v>
      </c>
      <c r="N111" s="20" t="s">
        <v>648</v>
      </c>
    </row>
    <row r="112" spans="1:14" ht="60" customHeight="1">
      <c r="A112" s="8" t="s">
        <v>649</v>
      </c>
      <c r="B112" s="9" t="s">
        <v>650</v>
      </c>
      <c r="C112" s="9" t="s">
        <v>651</v>
      </c>
      <c r="D112" s="9" t="s">
        <v>652</v>
      </c>
      <c r="E112" s="9" t="s">
        <v>653</v>
      </c>
      <c r="F112" s="8"/>
      <c r="G112" t="s">
        <v>77</v>
      </c>
      <c r="H112" s="8"/>
      <c r="I112" s="8" t="s">
        <v>67</v>
      </c>
      <c r="J112" s="8" t="s">
        <v>68</v>
      </c>
      <c r="K112" s="8" t="s">
        <v>69</v>
      </c>
      <c r="L112" s="9"/>
      <c r="M112" s="20" t="s">
        <v>70</v>
      </c>
      <c r="N112" s="20" t="s">
        <v>654</v>
      </c>
    </row>
    <row r="113" spans="1:14" ht="60" customHeight="1">
      <c r="A113" s="8" t="s">
        <v>655</v>
      </c>
      <c r="B113" s="9" t="s">
        <v>656</v>
      </c>
      <c r="C113" s="9" t="s">
        <v>657</v>
      </c>
      <c r="D113" s="9" t="s">
        <v>658</v>
      </c>
      <c r="E113" s="9" t="s">
        <v>659</v>
      </c>
      <c r="F113" s="8"/>
      <c r="G113" t="s">
        <v>77</v>
      </c>
      <c r="H113" s="8" t="s">
        <v>660</v>
      </c>
      <c r="I113" s="8" t="s">
        <v>67</v>
      </c>
      <c r="J113" s="8" t="s">
        <v>68</v>
      </c>
      <c r="K113" s="8" t="s">
        <v>69</v>
      </c>
      <c r="L113" s="9"/>
      <c r="M113" s="20" t="s">
        <v>70</v>
      </c>
      <c r="N113" s="20" t="s">
        <v>661</v>
      </c>
    </row>
    <row r="114" spans="1:14" ht="60" customHeight="1">
      <c r="A114" s="8" t="s">
        <v>662</v>
      </c>
      <c r="B114" s="9" t="s">
        <v>663</v>
      </c>
      <c r="C114" s="9" t="s">
        <v>664</v>
      </c>
      <c r="D114" s="9" t="s">
        <v>665</v>
      </c>
      <c r="E114" s="9" t="s">
        <v>666</v>
      </c>
      <c r="F114" s="8"/>
      <c r="G114" t="s">
        <v>77</v>
      </c>
      <c r="H114" s="8"/>
      <c r="I114" s="8" t="s">
        <v>422</v>
      </c>
      <c r="J114" s="8" t="s">
        <v>93</v>
      </c>
      <c r="K114" s="8" t="s">
        <v>306</v>
      </c>
      <c r="L114" s="9"/>
      <c r="M114" s="20" t="s">
        <v>77</v>
      </c>
      <c r="N114" s="20" t="s">
        <v>167</v>
      </c>
    </row>
    <row r="115" spans="1:14" ht="60" customHeight="1">
      <c r="A115" s="8" t="s">
        <v>667</v>
      </c>
      <c r="B115" s="9" t="s">
        <v>668</v>
      </c>
      <c r="C115" s="9" t="s">
        <v>669</v>
      </c>
      <c r="D115" s="9" t="s">
        <v>670</v>
      </c>
      <c r="E115" s="9" t="s">
        <v>671</v>
      </c>
      <c r="F115" s="8"/>
      <c r="G115" t="s">
        <v>77</v>
      </c>
      <c r="H115" s="8"/>
      <c r="I115" s="8" t="s">
        <v>422</v>
      </c>
      <c r="J115" s="8" t="s">
        <v>85</v>
      </c>
      <c r="K115" s="8" t="s">
        <v>306</v>
      </c>
      <c r="L115" s="9"/>
      <c r="M115" s="20" t="s">
        <v>77</v>
      </c>
      <c r="N115" s="20" t="s">
        <v>94</v>
      </c>
    </row>
    <row r="116" spans="1:14" ht="60" customHeight="1">
      <c r="A116" s="8" t="s">
        <v>672</v>
      </c>
      <c r="B116" s="9" t="s">
        <v>673</v>
      </c>
      <c r="C116" s="9" t="s">
        <v>674</v>
      </c>
      <c r="D116" s="9" t="s">
        <v>675</v>
      </c>
      <c r="E116" s="9" t="s">
        <v>676</v>
      </c>
      <c r="F116" s="8"/>
      <c r="G116" t="s">
        <v>77</v>
      </c>
      <c r="H116" s="8"/>
      <c r="I116" s="8" t="s">
        <v>422</v>
      </c>
      <c r="J116" s="8" t="s">
        <v>85</v>
      </c>
      <c r="K116" s="8" t="s">
        <v>306</v>
      </c>
      <c r="L116" s="9"/>
      <c r="M116" s="20" t="s">
        <v>77</v>
      </c>
      <c r="N116" s="20" t="s">
        <v>94</v>
      </c>
    </row>
    <row r="117" spans="1:14" ht="60" customHeight="1">
      <c r="A117" s="8" t="s">
        <v>677</v>
      </c>
      <c r="B117" s="9" t="s">
        <v>678</v>
      </c>
      <c r="C117" s="9" t="s">
        <v>679</v>
      </c>
      <c r="D117" s="9" t="s">
        <v>680</v>
      </c>
      <c r="E117" s="9" t="s">
        <v>681</v>
      </c>
      <c r="F117" s="8"/>
      <c r="G117" t="s">
        <v>77</v>
      </c>
      <c r="H117" s="8"/>
      <c r="I117" s="8" t="s">
        <v>422</v>
      </c>
      <c r="J117" s="8" t="s">
        <v>85</v>
      </c>
      <c r="K117" s="8" t="s">
        <v>306</v>
      </c>
      <c r="L117" s="9"/>
      <c r="M117" s="20" t="s">
        <v>77</v>
      </c>
      <c r="N117" s="20" t="s">
        <v>94</v>
      </c>
    </row>
    <row r="118" spans="1:14" ht="20.100000000000001" customHeight="1">
      <c r="A118" s="25" t="s">
        <v>682</v>
      </c>
      <c r="B118" s="28"/>
      <c r="C118" s="28"/>
      <c r="D118" s="28"/>
      <c r="E118" s="28"/>
      <c r="F118" s="28"/>
      <c r="G118" s="28"/>
      <c r="H118" s="28"/>
      <c r="I118" s="28"/>
      <c r="J118" s="28"/>
      <c r="K118" s="28"/>
      <c r="L118" s="29"/>
    </row>
    <row r="119" spans="1:14" ht="60" customHeight="1">
      <c r="A119" s="8" t="s">
        <v>683</v>
      </c>
      <c r="B119" s="9" t="s">
        <v>684</v>
      </c>
      <c r="C119" s="9" t="s">
        <v>685</v>
      </c>
      <c r="D119" s="9" t="s">
        <v>686</v>
      </c>
      <c r="E119" s="9" t="s">
        <v>687</v>
      </c>
      <c r="F119" s="8"/>
      <c r="G119" t="s">
        <v>66</v>
      </c>
      <c r="H119" s="8"/>
      <c r="I119" s="8" t="s">
        <v>67</v>
      </c>
      <c r="J119" s="8" t="s">
        <v>68</v>
      </c>
      <c r="K119" s="8" t="s">
        <v>69</v>
      </c>
      <c r="L119" s="9"/>
      <c r="M119" s="20" t="s">
        <v>70</v>
      </c>
      <c r="N119" s="20" t="s">
        <v>688</v>
      </c>
    </row>
    <row r="120" spans="1:14" ht="60" customHeight="1">
      <c r="A120" s="8" t="s">
        <v>689</v>
      </c>
      <c r="B120" s="9" t="s">
        <v>690</v>
      </c>
      <c r="C120" s="9" t="s">
        <v>691</v>
      </c>
      <c r="D120" s="9" t="s">
        <v>692</v>
      </c>
      <c r="E120" s="9" t="s">
        <v>693</v>
      </c>
      <c r="F120" s="8"/>
      <c r="G120" t="s">
        <v>77</v>
      </c>
      <c r="H120" s="8"/>
      <c r="I120" s="8" t="s">
        <v>67</v>
      </c>
      <c r="J120" s="8" t="s">
        <v>68</v>
      </c>
      <c r="K120" s="8" t="s">
        <v>69</v>
      </c>
      <c r="L120" s="9"/>
      <c r="M120" s="20" t="s">
        <v>70</v>
      </c>
      <c r="N120" s="20" t="s">
        <v>694</v>
      </c>
    </row>
    <row r="121" spans="1:14" ht="60" customHeight="1">
      <c r="A121" s="8" t="s">
        <v>695</v>
      </c>
      <c r="B121" s="9" t="s">
        <v>696</v>
      </c>
      <c r="C121" s="9" t="s">
        <v>697</v>
      </c>
      <c r="D121" s="9" t="s">
        <v>698</v>
      </c>
      <c r="E121" s="9" t="s">
        <v>699</v>
      </c>
      <c r="F121" s="8"/>
      <c r="G121" t="s">
        <v>66</v>
      </c>
      <c r="H121" s="8"/>
      <c r="I121" s="8" t="s">
        <v>113</v>
      </c>
      <c r="J121" s="8" t="s">
        <v>68</v>
      </c>
      <c r="K121" s="8" t="s">
        <v>69</v>
      </c>
      <c r="L121" s="9"/>
      <c r="M121" s="20" t="s">
        <v>70</v>
      </c>
      <c r="N121" s="20" t="s">
        <v>700</v>
      </c>
    </row>
    <row r="122" spans="1:14" ht="60" customHeight="1">
      <c r="A122" s="8" t="s">
        <v>701</v>
      </c>
      <c r="B122" s="9" t="s">
        <v>702</v>
      </c>
      <c r="C122" s="9" t="s">
        <v>691</v>
      </c>
      <c r="D122" s="9" t="s">
        <v>703</v>
      </c>
      <c r="E122" s="9" t="s">
        <v>704</v>
      </c>
      <c r="F122" s="8"/>
      <c r="G122" t="s">
        <v>66</v>
      </c>
      <c r="H122" s="8"/>
      <c r="I122" s="8" t="s">
        <v>92</v>
      </c>
      <c r="J122" s="8" t="s">
        <v>85</v>
      </c>
      <c r="K122" s="8" t="s">
        <v>69</v>
      </c>
      <c r="L122" s="9"/>
      <c r="M122" s="20" t="s">
        <v>70</v>
      </c>
      <c r="N122" s="20" t="s">
        <v>694</v>
      </c>
    </row>
    <row r="123" spans="1:14" ht="60" customHeight="1">
      <c r="A123" s="8" t="s">
        <v>705</v>
      </c>
      <c r="B123" s="9" t="s">
        <v>706</v>
      </c>
      <c r="C123" s="9" t="s">
        <v>707</v>
      </c>
      <c r="D123" s="9" t="s">
        <v>708</v>
      </c>
      <c r="E123" s="9" t="s">
        <v>709</v>
      </c>
      <c r="F123" s="8"/>
      <c r="G123" t="s">
        <v>77</v>
      </c>
      <c r="H123" s="8"/>
      <c r="I123" s="8" t="s">
        <v>67</v>
      </c>
      <c r="J123" s="8" t="s">
        <v>85</v>
      </c>
      <c r="K123" s="8" t="s">
        <v>69</v>
      </c>
      <c r="L123" s="9"/>
      <c r="M123" s="20" t="s">
        <v>70</v>
      </c>
      <c r="N123" s="20" t="s">
        <v>710</v>
      </c>
    </row>
    <row r="124" spans="1:14" ht="60" customHeight="1">
      <c r="A124" s="8" t="s">
        <v>711</v>
      </c>
      <c r="B124" s="9" t="s">
        <v>712</v>
      </c>
      <c r="C124" s="9" t="s">
        <v>713</v>
      </c>
      <c r="D124" s="9" t="s">
        <v>714</v>
      </c>
      <c r="E124" s="9" t="s">
        <v>715</v>
      </c>
      <c r="F124" s="8"/>
      <c r="G124" t="s">
        <v>66</v>
      </c>
      <c r="H124" s="8"/>
      <c r="I124" s="8" t="s">
        <v>67</v>
      </c>
      <c r="J124" s="8" t="s">
        <v>68</v>
      </c>
      <c r="K124" s="8" t="s">
        <v>69</v>
      </c>
      <c r="L124" s="9"/>
      <c r="M124" s="20" t="s">
        <v>70</v>
      </c>
      <c r="N124" s="20" t="s">
        <v>716</v>
      </c>
    </row>
    <row r="125" spans="1:14" ht="60" customHeight="1">
      <c r="A125" s="8" t="s">
        <v>717</v>
      </c>
      <c r="B125" s="9" t="s">
        <v>718</v>
      </c>
      <c r="C125" s="9" t="s">
        <v>719</v>
      </c>
      <c r="D125" s="9" t="s">
        <v>720</v>
      </c>
      <c r="E125" s="9" t="s">
        <v>721</v>
      </c>
      <c r="F125" s="8"/>
      <c r="G125" t="s">
        <v>66</v>
      </c>
      <c r="H125" s="8"/>
      <c r="I125" s="8" t="s">
        <v>67</v>
      </c>
      <c r="J125" s="8" t="s">
        <v>93</v>
      </c>
      <c r="K125" s="8" t="s">
        <v>69</v>
      </c>
      <c r="L125" s="9"/>
      <c r="M125" s="20" t="s">
        <v>70</v>
      </c>
      <c r="N125" s="20" t="s">
        <v>722</v>
      </c>
    </row>
    <row r="126" spans="1:14" ht="60" customHeight="1">
      <c r="A126" s="8" t="s">
        <v>723</v>
      </c>
      <c r="B126" s="9" t="s">
        <v>724</v>
      </c>
      <c r="C126" s="9" t="s">
        <v>725</v>
      </c>
      <c r="D126" s="9" t="s">
        <v>726</v>
      </c>
      <c r="E126" s="9" t="s">
        <v>727</v>
      </c>
      <c r="F126" s="8"/>
      <c r="G126" t="s">
        <v>77</v>
      </c>
      <c r="H126" s="8"/>
      <c r="I126" s="8" t="s">
        <v>67</v>
      </c>
      <c r="J126" s="8" t="s">
        <v>85</v>
      </c>
      <c r="K126" s="8" t="s">
        <v>69</v>
      </c>
      <c r="L126" s="9"/>
      <c r="M126" s="20" t="s">
        <v>70</v>
      </c>
      <c r="N126" s="20" t="s">
        <v>728</v>
      </c>
    </row>
    <row r="127" spans="1:14" ht="60" customHeight="1">
      <c r="A127" s="8" t="s">
        <v>729</v>
      </c>
      <c r="B127" s="9" t="s">
        <v>730</v>
      </c>
      <c r="C127" s="9" t="s">
        <v>731</v>
      </c>
      <c r="D127" s="9" t="s">
        <v>732</v>
      </c>
      <c r="E127" s="9" t="s">
        <v>733</v>
      </c>
      <c r="F127" s="8"/>
      <c r="G127" t="s">
        <v>77</v>
      </c>
      <c r="H127" s="8"/>
      <c r="I127" s="8" t="s">
        <v>113</v>
      </c>
      <c r="J127" s="8" t="s">
        <v>93</v>
      </c>
      <c r="K127" s="8" t="s">
        <v>69</v>
      </c>
      <c r="L127" s="9"/>
      <c r="M127" s="20" t="s">
        <v>70</v>
      </c>
      <c r="N127" s="20" t="s">
        <v>734</v>
      </c>
    </row>
    <row r="128" spans="1:14" ht="60" customHeight="1">
      <c r="A128" s="8" t="s">
        <v>735</v>
      </c>
      <c r="B128" s="9" t="s">
        <v>736</v>
      </c>
      <c r="C128" s="9" t="s">
        <v>737</v>
      </c>
      <c r="D128" s="9" t="s">
        <v>738</v>
      </c>
      <c r="E128" s="9" t="s">
        <v>739</v>
      </c>
      <c r="F128" s="8"/>
      <c r="G128" t="s">
        <v>77</v>
      </c>
      <c r="H128" s="8"/>
      <c r="I128" s="8" t="s">
        <v>92</v>
      </c>
      <c r="J128" s="8" t="s">
        <v>85</v>
      </c>
      <c r="K128" s="8" t="s">
        <v>69</v>
      </c>
      <c r="L128" s="9"/>
      <c r="M128" s="20" t="s">
        <v>70</v>
      </c>
      <c r="N128" s="20" t="s">
        <v>740</v>
      </c>
    </row>
    <row r="129" spans="1:14" ht="20.100000000000001" customHeight="1">
      <c r="A129" s="25" t="s">
        <v>741</v>
      </c>
      <c r="B129" s="28"/>
      <c r="C129" s="28"/>
      <c r="D129" s="28"/>
      <c r="E129" s="28"/>
      <c r="F129" s="28"/>
      <c r="G129" s="28"/>
      <c r="H129" s="28"/>
      <c r="I129" s="28"/>
      <c r="J129" s="28"/>
      <c r="K129" s="28"/>
      <c r="L129" s="29"/>
    </row>
    <row r="130" spans="1:14" ht="60" customHeight="1">
      <c r="A130" s="8" t="s">
        <v>742</v>
      </c>
      <c r="B130" s="9" t="s">
        <v>743</v>
      </c>
      <c r="C130" s="9" t="s">
        <v>744</v>
      </c>
      <c r="D130" s="9" t="s">
        <v>745</v>
      </c>
      <c r="E130" s="9" t="s">
        <v>746</v>
      </c>
      <c r="F130" s="8"/>
      <c r="G130" t="s">
        <v>77</v>
      </c>
      <c r="H130" s="8"/>
      <c r="I130" s="8" t="s">
        <v>422</v>
      </c>
      <c r="J130" s="8" t="s">
        <v>85</v>
      </c>
      <c r="K130" s="8" t="s">
        <v>306</v>
      </c>
      <c r="L130" s="9"/>
      <c r="M130" s="20" t="s">
        <v>228</v>
      </c>
      <c r="N130" s="20" t="s">
        <v>747</v>
      </c>
    </row>
    <row r="131" spans="1:14" ht="20.100000000000001" customHeight="1">
      <c r="A131" s="25" t="s">
        <v>748</v>
      </c>
      <c r="B131" s="28"/>
      <c r="C131" s="28"/>
      <c r="D131" s="28"/>
      <c r="E131" s="28"/>
      <c r="F131" s="28"/>
      <c r="G131" s="28"/>
      <c r="H131" s="28"/>
      <c r="I131" s="28"/>
      <c r="J131" s="28"/>
      <c r="K131" s="28"/>
      <c r="L131" s="29"/>
    </row>
    <row r="132" spans="1:14" ht="60" customHeight="1">
      <c r="A132" s="8" t="s">
        <v>749</v>
      </c>
      <c r="B132" s="9" t="s">
        <v>750</v>
      </c>
      <c r="C132" s="9" t="s">
        <v>751</v>
      </c>
      <c r="D132" s="9" t="s">
        <v>752</v>
      </c>
      <c r="E132" s="9" t="s">
        <v>753</v>
      </c>
      <c r="F132" s="8"/>
      <c r="G132" t="s">
        <v>66</v>
      </c>
      <c r="H132" s="8"/>
      <c r="I132" s="8" t="s">
        <v>92</v>
      </c>
      <c r="J132" s="8" t="s">
        <v>68</v>
      </c>
      <c r="K132" s="8" t="s">
        <v>69</v>
      </c>
      <c r="L132" s="9"/>
      <c r="M132" s="20" t="s">
        <v>70</v>
      </c>
      <c r="N132" s="20" t="s">
        <v>754</v>
      </c>
    </row>
    <row r="133" spans="1:14" ht="60" customHeight="1">
      <c r="A133" s="8" t="s">
        <v>755</v>
      </c>
      <c r="B133" s="9" t="s">
        <v>756</v>
      </c>
      <c r="C133" s="9" t="s">
        <v>757</v>
      </c>
      <c r="D133" s="9" t="s">
        <v>758</v>
      </c>
      <c r="E133" s="9" t="s">
        <v>759</v>
      </c>
      <c r="F133" s="8"/>
      <c r="G133" t="s">
        <v>66</v>
      </c>
      <c r="H133" s="8"/>
      <c r="I133" s="8" t="s">
        <v>92</v>
      </c>
      <c r="J133" s="8" t="s">
        <v>68</v>
      </c>
      <c r="K133" s="8" t="s">
        <v>69</v>
      </c>
      <c r="L133" s="9"/>
      <c r="M133" s="20" t="s">
        <v>70</v>
      </c>
      <c r="N133" s="20" t="s">
        <v>760</v>
      </c>
    </row>
    <row r="134" spans="1:14" ht="60" customHeight="1">
      <c r="A134" s="8" t="s">
        <v>761</v>
      </c>
      <c r="B134" s="9" t="s">
        <v>762</v>
      </c>
      <c r="C134" s="9" t="s">
        <v>757</v>
      </c>
      <c r="D134" s="9" t="s">
        <v>763</v>
      </c>
      <c r="E134" s="9" t="s">
        <v>764</v>
      </c>
      <c r="F134" s="8"/>
      <c r="G134" t="s">
        <v>66</v>
      </c>
      <c r="H134" s="8"/>
      <c r="I134" s="8" t="s">
        <v>67</v>
      </c>
      <c r="J134" s="8" t="s">
        <v>85</v>
      </c>
      <c r="K134" s="8" t="s">
        <v>69</v>
      </c>
      <c r="L134" s="9"/>
      <c r="M134" s="20" t="s">
        <v>70</v>
      </c>
      <c r="N134" s="20" t="s">
        <v>765</v>
      </c>
    </row>
    <row r="135" spans="1:14" ht="60" customHeight="1">
      <c r="A135" s="8" t="s">
        <v>766</v>
      </c>
      <c r="B135" s="9" t="s">
        <v>767</v>
      </c>
      <c r="C135" s="9" t="s">
        <v>768</v>
      </c>
      <c r="D135" s="9" t="s">
        <v>769</v>
      </c>
      <c r="E135" s="9" t="s">
        <v>770</v>
      </c>
      <c r="F135" s="8"/>
      <c r="G135" t="s">
        <v>77</v>
      </c>
      <c r="H135" s="8"/>
      <c r="I135" s="8" t="s">
        <v>67</v>
      </c>
      <c r="J135" s="8" t="s">
        <v>68</v>
      </c>
      <c r="K135" s="8" t="s">
        <v>69</v>
      </c>
      <c r="L135" s="9"/>
      <c r="M135" s="20" t="s">
        <v>70</v>
      </c>
      <c r="N135" s="20" t="s">
        <v>771</v>
      </c>
    </row>
    <row r="136" spans="1:14" ht="60" customHeight="1">
      <c r="A136" s="8" t="s">
        <v>772</v>
      </c>
      <c r="B136" s="9" t="s">
        <v>773</v>
      </c>
      <c r="C136" s="9" t="s">
        <v>774</v>
      </c>
      <c r="D136" s="9" t="s">
        <v>775</v>
      </c>
      <c r="E136" s="9" t="s">
        <v>776</v>
      </c>
      <c r="F136" s="8"/>
      <c r="G136" t="s">
        <v>66</v>
      </c>
      <c r="H136" s="8"/>
      <c r="I136" s="8" t="s">
        <v>67</v>
      </c>
      <c r="J136" s="8" t="s">
        <v>85</v>
      </c>
      <c r="K136" s="8" t="s">
        <v>69</v>
      </c>
      <c r="L136" s="9"/>
      <c r="M136" s="20" t="s">
        <v>70</v>
      </c>
      <c r="N136" s="20" t="s">
        <v>777</v>
      </c>
    </row>
    <row r="137" spans="1:14" ht="60" customHeight="1">
      <c r="A137" s="8" t="s">
        <v>778</v>
      </c>
      <c r="B137" s="9" t="s">
        <v>779</v>
      </c>
      <c r="C137" s="9" t="s">
        <v>780</v>
      </c>
      <c r="D137" s="9" t="s">
        <v>781</v>
      </c>
      <c r="E137" s="9" t="s">
        <v>782</v>
      </c>
      <c r="F137" s="8"/>
      <c r="G137" t="s">
        <v>77</v>
      </c>
      <c r="H137" s="8"/>
      <c r="I137" s="8" t="s">
        <v>92</v>
      </c>
      <c r="J137" s="8" t="s">
        <v>68</v>
      </c>
      <c r="K137" s="8" t="s">
        <v>69</v>
      </c>
      <c r="L137" s="9"/>
      <c r="M137" s="20" t="s">
        <v>228</v>
      </c>
      <c r="N137" s="20" t="s">
        <v>783</v>
      </c>
    </row>
    <row r="138" spans="1:14" ht="60" customHeight="1">
      <c r="A138" s="8" t="s">
        <v>784</v>
      </c>
      <c r="B138" s="9" t="s">
        <v>785</v>
      </c>
      <c r="C138" s="9" t="s">
        <v>786</v>
      </c>
      <c r="D138" s="9" t="s">
        <v>787</v>
      </c>
      <c r="E138" s="9" t="s">
        <v>788</v>
      </c>
      <c r="F138" s="8"/>
      <c r="G138" t="s">
        <v>66</v>
      </c>
      <c r="H138" s="8"/>
      <c r="I138" s="8" t="s">
        <v>92</v>
      </c>
      <c r="J138" s="8" t="s">
        <v>68</v>
      </c>
      <c r="K138" s="8" t="s">
        <v>69</v>
      </c>
      <c r="L138" s="9"/>
      <c r="M138" s="20" t="s">
        <v>70</v>
      </c>
      <c r="N138" s="20" t="s">
        <v>789</v>
      </c>
    </row>
    <row r="139" spans="1:14" ht="20.100000000000001" customHeight="1">
      <c r="A139" s="25" t="s">
        <v>790</v>
      </c>
      <c r="B139" s="28"/>
      <c r="C139" s="28"/>
      <c r="D139" s="28"/>
      <c r="E139" s="28"/>
      <c r="F139" s="28"/>
      <c r="G139" s="28"/>
      <c r="H139" s="28"/>
      <c r="I139" s="28"/>
      <c r="J139" s="28"/>
      <c r="K139" s="28"/>
      <c r="L139" s="29"/>
    </row>
    <row r="140" spans="1:14" ht="60" customHeight="1">
      <c r="A140" s="8" t="s">
        <v>791</v>
      </c>
      <c r="B140" s="9" t="s">
        <v>792</v>
      </c>
      <c r="C140" s="9" t="s">
        <v>793</v>
      </c>
      <c r="D140" s="9" t="s">
        <v>794</v>
      </c>
      <c r="E140" s="9" t="s">
        <v>795</v>
      </c>
      <c r="F140" s="8"/>
      <c r="G140" t="s">
        <v>227</v>
      </c>
      <c r="H140" s="8"/>
      <c r="I140" s="8" t="s">
        <v>67</v>
      </c>
      <c r="J140" s="8" t="s">
        <v>85</v>
      </c>
      <c r="K140" s="8" t="s">
        <v>69</v>
      </c>
      <c r="L140" s="9"/>
      <c r="M140" s="20" t="s">
        <v>228</v>
      </c>
      <c r="N140" s="20" t="s">
        <v>796</v>
      </c>
    </row>
    <row r="141" spans="1:14" ht="60" customHeight="1">
      <c r="A141" s="8" t="s">
        <v>797</v>
      </c>
      <c r="B141" s="9" t="s">
        <v>798</v>
      </c>
      <c r="C141" s="9" t="s">
        <v>799</v>
      </c>
      <c r="D141" s="9" t="s">
        <v>800</v>
      </c>
      <c r="E141" s="9" t="s">
        <v>801</v>
      </c>
      <c r="F141" s="8"/>
      <c r="G141" t="s">
        <v>77</v>
      </c>
      <c r="H141" s="8"/>
      <c r="I141" s="8" t="s">
        <v>92</v>
      </c>
      <c r="J141" s="8" t="s">
        <v>68</v>
      </c>
      <c r="K141" s="8" t="s">
        <v>69</v>
      </c>
      <c r="L141" s="9"/>
      <c r="M141" s="20" t="s">
        <v>70</v>
      </c>
      <c r="N141" s="20" t="s">
        <v>802</v>
      </c>
    </row>
    <row r="142" spans="1:14" ht="60" customHeight="1">
      <c r="A142" s="8" t="s">
        <v>803</v>
      </c>
      <c r="B142" s="9" t="s">
        <v>804</v>
      </c>
      <c r="C142" s="9" t="s">
        <v>805</v>
      </c>
      <c r="D142" s="9" t="s">
        <v>806</v>
      </c>
      <c r="E142" s="9" t="s">
        <v>807</v>
      </c>
      <c r="F142" s="8"/>
      <c r="G142" t="s">
        <v>227</v>
      </c>
      <c r="H142" s="8"/>
      <c r="I142" s="8" t="s">
        <v>113</v>
      </c>
      <c r="J142" s="8" t="s">
        <v>68</v>
      </c>
      <c r="K142" s="8" t="s">
        <v>69</v>
      </c>
      <c r="L142" s="9"/>
      <c r="M142" s="20" t="s">
        <v>228</v>
      </c>
      <c r="N142" s="20" t="s">
        <v>808</v>
      </c>
    </row>
    <row r="143" spans="1:14" ht="60" customHeight="1">
      <c r="A143" s="8" t="s">
        <v>809</v>
      </c>
      <c r="B143" s="9" t="s">
        <v>810</v>
      </c>
      <c r="C143" s="9" t="s">
        <v>811</v>
      </c>
      <c r="D143" s="9" t="s">
        <v>812</v>
      </c>
      <c r="E143" s="9" t="s">
        <v>813</v>
      </c>
      <c r="F143" s="8"/>
      <c r="G143" t="s">
        <v>77</v>
      </c>
      <c r="H143" s="8"/>
      <c r="I143" s="8" t="s">
        <v>67</v>
      </c>
      <c r="J143" s="8" t="s">
        <v>85</v>
      </c>
      <c r="K143" s="8" t="s">
        <v>69</v>
      </c>
      <c r="L143" s="9"/>
      <c r="M143" s="20" t="s">
        <v>77</v>
      </c>
      <c r="N143" s="20" t="s">
        <v>94</v>
      </c>
    </row>
    <row r="144" spans="1:14" ht="60" customHeight="1">
      <c r="A144" s="8" t="s">
        <v>814</v>
      </c>
      <c r="B144" s="9" t="s">
        <v>815</v>
      </c>
      <c r="C144" s="9" t="s">
        <v>816</v>
      </c>
      <c r="D144" s="9" t="s">
        <v>817</v>
      </c>
      <c r="E144" s="9" t="s">
        <v>818</v>
      </c>
      <c r="F144" s="8"/>
      <c r="G144" t="s">
        <v>227</v>
      </c>
      <c r="H144" s="8"/>
      <c r="I144" s="8" t="s">
        <v>67</v>
      </c>
      <c r="J144" s="8" t="s">
        <v>85</v>
      </c>
      <c r="K144" s="8" t="s">
        <v>69</v>
      </c>
      <c r="L144" s="9"/>
      <c r="M144" s="20" t="s">
        <v>228</v>
      </c>
      <c r="N144" s="20" t="s">
        <v>819</v>
      </c>
    </row>
    <row r="145" spans="1:14" ht="60" customHeight="1">
      <c r="A145" s="8" t="s">
        <v>820</v>
      </c>
      <c r="B145" s="9" t="s">
        <v>821</v>
      </c>
      <c r="C145" s="9" t="s">
        <v>822</v>
      </c>
      <c r="D145" s="9" t="s">
        <v>823</v>
      </c>
      <c r="E145" s="9" t="s">
        <v>824</v>
      </c>
      <c r="F145" s="8"/>
      <c r="G145" t="s">
        <v>77</v>
      </c>
      <c r="H145" s="8"/>
      <c r="I145" s="8" t="s">
        <v>92</v>
      </c>
      <c r="J145" s="8" t="s">
        <v>68</v>
      </c>
      <c r="K145" s="8" t="s">
        <v>69</v>
      </c>
      <c r="L145" s="9"/>
      <c r="M145" s="20" t="s">
        <v>77</v>
      </c>
      <c r="N145" s="20" t="s">
        <v>167</v>
      </c>
    </row>
    <row r="146" spans="1:14" ht="60" customHeight="1">
      <c r="A146" s="8" t="s">
        <v>825</v>
      </c>
      <c r="B146" s="9" t="s">
        <v>826</v>
      </c>
      <c r="C146" s="9" t="s">
        <v>827</v>
      </c>
      <c r="D146" s="9" t="s">
        <v>828</v>
      </c>
      <c r="E146" s="9" t="s">
        <v>829</v>
      </c>
      <c r="F146" s="8"/>
      <c r="G146" t="s">
        <v>77</v>
      </c>
      <c r="H146" s="8"/>
      <c r="I146" s="8" t="s">
        <v>67</v>
      </c>
      <c r="J146" s="8" t="s">
        <v>93</v>
      </c>
      <c r="K146" s="8" t="s">
        <v>69</v>
      </c>
      <c r="L146" s="9"/>
      <c r="M146" s="20" t="s">
        <v>70</v>
      </c>
      <c r="N146" s="20" t="s">
        <v>830</v>
      </c>
    </row>
    <row r="147" spans="1:14" ht="60" customHeight="1">
      <c r="A147" s="8" t="s">
        <v>831</v>
      </c>
      <c r="B147" s="9" t="s">
        <v>832</v>
      </c>
      <c r="C147" s="9" t="s">
        <v>833</v>
      </c>
      <c r="D147" s="9" t="s">
        <v>834</v>
      </c>
      <c r="E147" s="9" t="s">
        <v>835</v>
      </c>
      <c r="F147" s="8"/>
      <c r="G147" t="s">
        <v>77</v>
      </c>
      <c r="H147" s="8"/>
      <c r="I147" s="8" t="s">
        <v>92</v>
      </c>
      <c r="J147" s="8" t="s">
        <v>85</v>
      </c>
      <c r="K147" s="8" t="s">
        <v>69</v>
      </c>
      <c r="L147" s="9"/>
      <c r="M147" s="20" t="s">
        <v>77</v>
      </c>
      <c r="N147" s="20" t="s">
        <v>94</v>
      </c>
    </row>
    <row r="148" spans="1:14" ht="60" customHeight="1">
      <c r="A148" s="8" t="s">
        <v>836</v>
      </c>
      <c r="B148" s="9" t="s">
        <v>837</v>
      </c>
      <c r="C148" s="9" t="s">
        <v>838</v>
      </c>
      <c r="D148" s="9" t="s">
        <v>839</v>
      </c>
      <c r="E148" s="9" t="s">
        <v>840</v>
      </c>
      <c r="F148" s="8"/>
      <c r="G148" t="s">
        <v>77</v>
      </c>
      <c r="H148" s="8"/>
      <c r="I148" s="8" t="s">
        <v>67</v>
      </c>
      <c r="J148" s="8" t="s">
        <v>85</v>
      </c>
      <c r="K148" s="8" t="s">
        <v>69</v>
      </c>
      <c r="L148" s="9"/>
      <c r="M148" s="20" t="s">
        <v>70</v>
      </c>
      <c r="N148" s="20" t="s">
        <v>841</v>
      </c>
    </row>
    <row r="149" spans="1:14" ht="60" customHeight="1">
      <c r="A149" s="8" t="s">
        <v>842</v>
      </c>
      <c r="B149" s="9" t="s">
        <v>843</v>
      </c>
      <c r="C149" s="9" t="s">
        <v>844</v>
      </c>
      <c r="D149" s="9" t="s">
        <v>845</v>
      </c>
      <c r="E149" s="9" t="s">
        <v>846</v>
      </c>
      <c r="F149" s="8"/>
      <c r="G149" t="s">
        <v>77</v>
      </c>
      <c r="H149" s="8"/>
      <c r="I149" s="8" t="s">
        <v>67</v>
      </c>
      <c r="J149" s="8" t="s">
        <v>85</v>
      </c>
      <c r="K149" s="8" t="s">
        <v>69</v>
      </c>
      <c r="L149" s="9"/>
      <c r="M149" s="20" t="s">
        <v>70</v>
      </c>
      <c r="N149" s="20" t="s">
        <v>847</v>
      </c>
    </row>
    <row r="150" spans="1:14" ht="60" customHeight="1">
      <c r="A150" s="8" t="s">
        <v>848</v>
      </c>
      <c r="B150" s="9" t="s">
        <v>849</v>
      </c>
      <c r="C150" s="9" t="s">
        <v>850</v>
      </c>
      <c r="D150" s="9" t="s">
        <v>851</v>
      </c>
      <c r="E150" s="9" t="s">
        <v>852</v>
      </c>
      <c r="F150" s="8"/>
      <c r="G150" t="s">
        <v>77</v>
      </c>
      <c r="H150" s="8"/>
      <c r="I150" s="8" t="s">
        <v>67</v>
      </c>
      <c r="J150" s="8" t="s">
        <v>85</v>
      </c>
      <c r="K150" s="8" t="s">
        <v>69</v>
      </c>
      <c r="L150" s="9"/>
      <c r="M150" s="20" t="s">
        <v>70</v>
      </c>
      <c r="N150" s="20" t="s">
        <v>853</v>
      </c>
    </row>
    <row r="151" spans="1:14" ht="60" customHeight="1">
      <c r="A151" s="8" t="s">
        <v>854</v>
      </c>
      <c r="B151" s="9" t="s">
        <v>855</v>
      </c>
      <c r="C151" s="9" t="s">
        <v>856</v>
      </c>
      <c r="D151" s="9" t="s">
        <v>857</v>
      </c>
      <c r="E151" s="9" t="s">
        <v>858</v>
      </c>
      <c r="F151" s="8"/>
      <c r="G151" t="s">
        <v>77</v>
      </c>
      <c r="H151" s="8"/>
      <c r="I151" s="8" t="s">
        <v>67</v>
      </c>
      <c r="J151" s="8" t="s">
        <v>85</v>
      </c>
      <c r="K151" s="8" t="s">
        <v>69</v>
      </c>
      <c r="L151" s="9"/>
      <c r="M151" s="20" t="s">
        <v>70</v>
      </c>
      <c r="N151" s="20" t="s">
        <v>859</v>
      </c>
    </row>
    <row r="152" spans="1:14" ht="60" customHeight="1">
      <c r="A152" s="8" t="s">
        <v>860</v>
      </c>
      <c r="B152" s="9" t="s">
        <v>861</v>
      </c>
      <c r="C152" s="9" t="s">
        <v>833</v>
      </c>
      <c r="D152" s="9" t="s">
        <v>862</v>
      </c>
      <c r="E152" s="9" t="s">
        <v>863</v>
      </c>
      <c r="F152" s="8"/>
      <c r="G152" t="s">
        <v>77</v>
      </c>
      <c r="H152" s="8"/>
      <c r="I152" s="8" t="s">
        <v>92</v>
      </c>
      <c r="J152" s="8" t="s">
        <v>85</v>
      </c>
      <c r="K152" s="8" t="s">
        <v>69</v>
      </c>
      <c r="L152" s="9"/>
      <c r="M152" s="20" t="s">
        <v>77</v>
      </c>
      <c r="N152" s="20" t="s">
        <v>94</v>
      </c>
    </row>
    <row r="153" spans="1:14" ht="60" customHeight="1">
      <c r="A153" s="8" t="s">
        <v>864</v>
      </c>
      <c r="B153" s="9" t="s">
        <v>865</v>
      </c>
      <c r="C153" s="9" t="s">
        <v>866</v>
      </c>
      <c r="D153" s="9" t="s">
        <v>867</v>
      </c>
      <c r="E153" s="9" t="s">
        <v>868</v>
      </c>
      <c r="F153" s="8"/>
      <c r="G153" t="s">
        <v>77</v>
      </c>
      <c r="H153" s="8"/>
      <c r="I153" s="8" t="s">
        <v>67</v>
      </c>
      <c r="J153" s="8" t="s">
        <v>85</v>
      </c>
      <c r="K153" s="8" t="s">
        <v>69</v>
      </c>
      <c r="L153" s="9"/>
      <c r="M153" s="20" t="s">
        <v>70</v>
      </c>
      <c r="N153" s="20" t="s">
        <v>869</v>
      </c>
    </row>
    <row r="154" spans="1:14" ht="60" customHeight="1">
      <c r="A154" s="8" t="s">
        <v>870</v>
      </c>
      <c r="B154" s="9" t="s">
        <v>871</v>
      </c>
      <c r="C154" s="9" t="s">
        <v>872</v>
      </c>
      <c r="D154" s="9" t="s">
        <v>873</v>
      </c>
      <c r="E154" s="9" t="s">
        <v>874</v>
      </c>
      <c r="F154" s="8"/>
      <c r="G154" t="s">
        <v>77</v>
      </c>
      <c r="H154" s="8"/>
      <c r="I154" s="8" t="s">
        <v>67</v>
      </c>
      <c r="J154" s="8" t="s">
        <v>68</v>
      </c>
      <c r="K154" s="8" t="s">
        <v>69</v>
      </c>
      <c r="L154" s="9"/>
      <c r="M154" s="20" t="s">
        <v>70</v>
      </c>
      <c r="N154" s="20" t="s">
        <v>875</v>
      </c>
    </row>
    <row r="155" spans="1:14" ht="60" customHeight="1">
      <c r="A155" s="8" t="s">
        <v>876</v>
      </c>
      <c r="B155" s="9" t="s">
        <v>877</v>
      </c>
      <c r="C155" s="9" t="s">
        <v>878</v>
      </c>
      <c r="D155" s="9" t="s">
        <v>879</v>
      </c>
      <c r="E155" s="9" t="s">
        <v>880</v>
      </c>
      <c r="F155" s="8"/>
      <c r="G155" t="s">
        <v>77</v>
      </c>
      <c r="H155" s="8"/>
      <c r="I155" s="8" t="s">
        <v>67</v>
      </c>
      <c r="J155" s="8" t="s">
        <v>68</v>
      </c>
      <c r="K155" s="8" t="s">
        <v>69</v>
      </c>
      <c r="L155" s="9"/>
      <c r="M155" s="20" t="s">
        <v>70</v>
      </c>
      <c r="N155" s="20" t="s">
        <v>881</v>
      </c>
    </row>
    <row r="156" spans="1:14" ht="60" customHeight="1">
      <c r="A156" s="8" t="s">
        <v>882</v>
      </c>
      <c r="B156" s="9" t="s">
        <v>883</v>
      </c>
      <c r="C156" s="9" t="s">
        <v>884</v>
      </c>
      <c r="D156" s="9" t="s">
        <v>885</v>
      </c>
      <c r="E156" s="9" t="s">
        <v>886</v>
      </c>
      <c r="F156" s="8"/>
      <c r="G156" t="s">
        <v>77</v>
      </c>
      <c r="H156" s="8"/>
      <c r="I156" s="8" t="s">
        <v>113</v>
      </c>
      <c r="J156" s="8" t="s">
        <v>68</v>
      </c>
      <c r="K156" s="8" t="s">
        <v>69</v>
      </c>
      <c r="L156" s="9"/>
      <c r="M156" s="20" t="s">
        <v>70</v>
      </c>
      <c r="N156" s="20" t="s">
        <v>887</v>
      </c>
    </row>
    <row r="157" spans="1:14" ht="60" customHeight="1">
      <c r="A157" s="8" t="s">
        <v>888</v>
      </c>
      <c r="B157" s="9" t="s">
        <v>889</v>
      </c>
      <c r="C157" s="9" t="s">
        <v>890</v>
      </c>
      <c r="D157" s="9" t="s">
        <v>891</v>
      </c>
      <c r="E157" s="9" t="s">
        <v>892</v>
      </c>
      <c r="F157" s="8"/>
      <c r="G157" t="s">
        <v>77</v>
      </c>
      <c r="H157" s="8"/>
      <c r="I157" s="8" t="s">
        <v>67</v>
      </c>
      <c r="J157" s="8" t="s">
        <v>68</v>
      </c>
      <c r="K157" s="8" t="s">
        <v>69</v>
      </c>
      <c r="L157" s="9"/>
      <c r="M157" s="20" t="s">
        <v>70</v>
      </c>
      <c r="N157" s="20" t="s">
        <v>893</v>
      </c>
    </row>
    <row r="158" spans="1:14" ht="60" customHeight="1">
      <c r="A158" s="8" t="s">
        <v>894</v>
      </c>
      <c r="B158" s="9" t="s">
        <v>895</v>
      </c>
      <c r="C158" s="9" t="s">
        <v>833</v>
      </c>
      <c r="D158" s="9" t="s">
        <v>896</v>
      </c>
      <c r="E158" s="9" t="s">
        <v>897</v>
      </c>
      <c r="F158" s="8"/>
      <c r="G158" t="s">
        <v>77</v>
      </c>
      <c r="H158" s="8"/>
      <c r="I158" s="8" t="s">
        <v>92</v>
      </c>
      <c r="J158" s="8" t="s">
        <v>68</v>
      </c>
      <c r="K158" s="8" t="s">
        <v>69</v>
      </c>
      <c r="L158" s="9"/>
      <c r="M158" s="20" t="s">
        <v>77</v>
      </c>
      <c r="N158" s="20" t="s">
        <v>94</v>
      </c>
    </row>
    <row r="159" spans="1:14" ht="60" customHeight="1">
      <c r="A159" s="8" t="s">
        <v>898</v>
      </c>
      <c r="B159" s="9" t="s">
        <v>899</v>
      </c>
      <c r="C159" s="9" t="s">
        <v>833</v>
      </c>
      <c r="D159" s="9" t="s">
        <v>900</v>
      </c>
      <c r="E159" s="9" t="s">
        <v>901</v>
      </c>
      <c r="F159" s="8"/>
      <c r="G159" t="s">
        <v>77</v>
      </c>
      <c r="H159" s="8"/>
      <c r="I159" s="8" t="s">
        <v>92</v>
      </c>
      <c r="J159" s="8" t="s">
        <v>85</v>
      </c>
      <c r="K159" s="8" t="s">
        <v>69</v>
      </c>
      <c r="L159" s="9"/>
      <c r="M159" s="20" t="s">
        <v>77</v>
      </c>
      <c r="N159" s="20" t="s">
        <v>94</v>
      </c>
    </row>
    <row r="160" spans="1:14" ht="60" customHeight="1">
      <c r="A160" s="8" t="s">
        <v>902</v>
      </c>
      <c r="B160" s="9" t="s">
        <v>903</v>
      </c>
      <c r="C160" s="9" t="s">
        <v>904</v>
      </c>
      <c r="D160" s="9" t="s">
        <v>905</v>
      </c>
      <c r="E160" s="9" t="s">
        <v>906</v>
      </c>
      <c r="F160" s="8"/>
      <c r="G160" t="s">
        <v>227</v>
      </c>
      <c r="H160" s="8"/>
      <c r="I160" s="8" t="s">
        <v>67</v>
      </c>
      <c r="J160" s="8" t="s">
        <v>85</v>
      </c>
      <c r="K160" s="8" t="s">
        <v>69</v>
      </c>
      <c r="L160" s="9"/>
      <c r="M160" s="20" t="s">
        <v>70</v>
      </c>
      <c r="N160" s="20" t="s">
        <v>907</v>
      </c>
    </row>
    <row r="161" spans="1:14" ht="60" customHeight="1">
      <c r="A161" s="8" t="s">
        <v>908</v>
      </c>
      <c r="B161" s="9" t="s">
        <v>909</v>
      </c>
      <c r="C161" s="9" t="s">
        <v>910</v>
      </c>
      <c r="D161" s="9" t="s">
        <v>911</v>
      </c>
      <c r="E161" s="9" t="s">
        <v>912</v>
      </c>
      <c r="F161" s="8"/>
      <c r="G161" t="s">
        <v>77</v>
      </c>
      <c r="H161" s="8"/>
      <c r="I161" s="8" t="s">
        <v>113</v>
      </c>
      <c r="J161" s="8" t="s">
        <v>93</v>
      </c>
      <c r="K161" s="8" t="s">
        <v>913</v>
      </c>
      <c r="L161" s="9"/>
      <c r="M161" s="20" t="s">
        <v>70</v>
      </c>
      <c r="N161" s="20" t="s">
        <v>156</v>
      </c>
    </row>
    <row r="162" spans="1:14" ht="60" customHeight="1">
      <c r="A162" s="8" t="s">
        <v>914</v>
      </c>
      <c r="B162" s="9" t="s">
        <v>915</v>
      </c>
      <c r="C162" s="9" t="s">
        <v>916</v>
      </c>
      <c r="D162" s="9" t="s">
        <v>917</v>
      </c>
      <c r="E162" s="9" t="s">
        <v>918</v>
      </c>
      <c r="F162" s="8"/>
      <c r="G162" t="s">
        <v>66</v>
      </c>
      <c r="H162" s="8"/>
      <c r="I162" s="8" t="s">
        <v>67</v>
      </c>
      <c r="J162" s="8" t="s">
        <v>93</v>
      </c>
      <c r="K162" s="8" t="s">
        <v>913</v>
      </c>
      <c r="L162" s="9"/>
      <c r="M162" s="20" t="s">
        <v>70</v>
      </c>
      <c r="N162" s="20" t="s">
        <v>919</v>
      </c>
    </row>
    <row r="163" spans="1:14" ht="60" customHeight="1">
      <c r="A163" s="8" t="s">
        <v>920</v>
      </c>
      <c r="B163" s="9" t="s">
        <v>921</v>
      </c>
      <c r="C163" s="9" t="s">
        <v>833</v>
      </c>
      <c r="D163" s="9" t="s">
        <v>922</v>
      </c>
      <c r="E163" s="9" t="s">
        <v>923</v>
      </c>
      <c r="F163" s="8"/>
      <c r="G163" t="s">
        <v>77</v>
      </c>
      <c r="H163" s="8"/>
      <c r="I163" s="8" t="s">
        <v>92</v>
      </c>
      <c r="J163" s="8" t="s">
        <v>85</v>
      </c>
      <c r="K163" s="8" t="s">
        <v>306</v>
      </c>
      <c r="L163" s="9"/>
      <c r="M163" s="20" t="s">
        <v>77</v>
      </c>
      <c r="N163" s="20" t="s">
        <v>94</v>
      </c>
    </row>
  </sheetData>
  <mergeCells count="14">
    <mergeCell ref="A139:L139"/>
    <mergeCell ref="A3:L3"/>
    <mergeCell ref="A59:L59"/>
    <mergeCell ref="A129:L129"/>
    <mergeCell ref="A118:L118"/>
    <mergeCell ref="A97:L97"/>
    <mergeCell ref="A131:L131"/>
    <mergeCell ref="A4:L4"/>
    <mergeCell ref="A48:L48"/>
    <mergeCell ref="A88:L88"/>
    <mergeCell ref="A23:L23"/>
    <mergeCell ref="A9:L9"/>
    <mergeCell ref="A70:L70"/>
    <mergeCell ref="A31:L3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L3"/>
  <sheetViews>
    <sheetView workbookViewId="0">
      <selection activeCell="A4" sqref="A4"/>
    </sheetView>
  </sheetViews>
  <sheetFormatPr defaultRowHeight="15"/>
  <cols>
    <col min="3" max="3" width="16.42578125" customWidth="1"/>
    <col min="5" max="5" width="14.7109375" bestFit="1" customWidth="1"/>
    <col min="6" max="6" width="10.140625" bestFit="1" customWidth="1"/>
    <col min="7" max="7" width="14.140625" bestFit="1" customWidth="1"/>
    <col min="10" max="10" width="18.5703125" bestFit="1" customWidth="1"/>
    <col min="11" max="12" width="13.5703125" bestFit="1" customWidth="1"/>
  </cols>
  <sheetData>
    <row r="1" spans="2:12">
      <c r="H1" s="16">
        <v>0.1</v>
      </c>
      <c r="I1" s="16">
        <v>0.05</v>
      </c>
      <c r="J1" s="16" t="s">
        <v>924</v>
      </c>
    </row>
    <row r="2" spans="2:12">
      <c r="B2" s="11" t="s">
        <v>925</v>
      </c>
      <c r="C2" s="11" t="s">
        <v>926</v>
      </c>
      <c r="E2" t="s">
        <v>927</v>
      </c>
      <c r="F2" t="s">
        <v>928</v>
      </c>
      <c r="G2" t="s">
        <v>929</v>
      </c>
      <c r="H2" t="s">
        <v>930</v>
      </c>
      <c r="I2" t="s">
        <v>931</v>
      </c>
      <c r="K2" t="s">
        <v>932</v>
      </c>
    </row>
    <row r="3" spans="2:12" ht="24.75" customHeight="1">
      <c r="B3" s="12" t="s">
        <v>933</v>
      </c>
      <c r="C3" s="13" t="s">
        <v>934</v>
      </c>
      <c r="E3" s="15">
        <v>10000000</v>
      </c>
      <c r="F3" s="15">
        <v>24</v>
      </c>
      <c r="G3" s="15">
        <v>10000</v>
      </c>
      <c r="H3" s="15"/>
      <c r="I3" s="15"/>
      <c r="J3" s="15">
        <v>23</v>
      </c>
      <c r="K3" s="14">
        <f>(E3/F3*23) +(J3*G3)</f>
        <v>9813333.333333334</v>
      </c>
      <c r="L3" s="14">
        <f>K3*90%</f>
        <v>8832000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29"/>
  <sheetViews>
    <sheetView workbookViewId="0">
      <pane ySplit="2" topLeftCell="A24" activePane="bottomLeft" state="frozen"/>
      <selection pane="bottomLeft" activeCell="H78" sqref="A78:M110"/>
    </sheetView>
  </sheetViews>
  <sheetFormatPr defaultRowHeight="15"/>
  <cols>
    <col min="1" max="1" width="12" customWidth="1"/>
    <col min="2" max="2" width="42" customWidth="1"/>
    <col min="3" max="3" width="26" customWidth="1"/>
    <col min="4" max="5" width="34" customWidth="1"/>
    <col min="6" max="6" width="10" customWidth="1"/>
    <col min="7" max="7" width="14" customWidth="1"/>
    <col min="8" max="8" width="10" customWidth="1"/>
    <col min="9" max="9" width="12" customWidth="1"/>
    <col min="10" max="10" width="9" customWidth="1"/>
    <col min="11" max="11" width="10" customWidth="1"/>
    <col min="12" max="12" width="22" customWidth="1"/>
    <col min="13" max="13" width="16" customWidth="1"/>
    <col min="14" max="14" width="14" customWidth="1"/>
    <col min="15" max="15" width="46" customWidth="1"/>
  </cols>
  <sheetData>
    <row r="1" spans="1:15" ht="27.95" customHeight="1">
      <c r="A1" s="7" t="s">
        <v>45</v>
      </c>
      <c r="B1" s="7" t="s">
        <v>46</v>
      </c>
      <c r="C1" s="7" t="s">
        <v>47</v>
      </c>
      <c r="D1" s="7" t="s">
        <v>48</v>
      </c>
      <c r="E1" s="7" t="s">
        <v>49</v>
      </c>
      <c r="F1" s="7" t="s">
        <v>50</v>
      </c>
      <c r="G1" s="7" t="s">
        <v>935</v>
      </c>
      <c r="H1" s="7" t="s">
        <v>52</v>
      </c>
      <c r="I1" s="7" t="s">
        <v>53</v>
      </c>
      <c r="J1" s="7" t="s">
        <v>54</v>
      </c>
      <c r="K1" s="7" t="s">
        <v>55</v>
      </c>
      <c r="L1" s="7" t="s">
        <v>936</v>
      </c>
      <c r="M1" s="7" t="s">
        <v>56</v>
      </c>
      <c r="N1" s="17" t="s">
        <v>57</v>
      </c>
      <c r="O1" s="17" t="s">
        <v>58</v>
      </c>
    </row>
    <row r="2" spans="1:15" ht="42" customHeight="1">
      <c r="A2" s="26" t="s">
        <v>59</v>
      </c>
      <c r="B2" s="27"/>
      <c r="C2" s="27"/>
      <c r="D2" s="27"/>
      <c r="E2" s="27"/>
      <c r="F2" s="27"/>
      <c r="G2" s="27"/>
      <c r="H2" s="27"/>
      <c r="I2" s="27"/>
      <c r="J2" s="27"/>
      <c r="K2" s="27"/>
      <c r="L2" s="27"/>
      <c r="M2" s="27"/>
    </row>
    <row r="3" spans="1:15" ht="20.100000000000001" customHeight="1">
      <c r="A3" s="25" t="s">
        <v>60</v>
      </c>
      <c r="B3" s="28"/>
      <c r="C3" s="28"/>
      <c r="D3" s="28"/>
      <c r="E3" s="28"/>
      <c r="F3" s="28"/>
      <c r="G3" s="28"/>
      <c r="H3" s="28"/>
      <c r="I3" s="28"/>
      <c r="J3" s="28"/>
      <c r="K3" s="28"/>
      <c r="L3" s="28"/>
      <c r="M3" s="29"/>
    </row>
    <row r="4" spans="1:15" ht="60" customHeight="1">
      <c r="A4" s="8" t="s">
        <v>937</v>
      </c>
      <c r="B4" s="9" t="s">
        <v>938</v>
      </c>
      <c r="C4" s="9" t="s">
        <v>939</v>
      </c>
      <c r="D4" s="9" t="s">
        <v>940</v>
      </c>
      <c r="E4" s="9" t="s">
        <v>941</v>
      </c>
      <c r="F4" s="8"/>
      <c r="G4" s="8" t="s">
        <v>143</v>
      </c>
      <c r="H4" s="8"/>
      <c r="I4" s="8" t="s">
        <v>113</v>
      </c>
      <c r="J4" s="8" t="s">
        <v>85</v>
      </c>
      <c r="K4" s="8" t="s">
        <v>306</v>
      </c>
      <c r="L4" s="9"/>
      <c r="M4" s="9"/>
      <c r="N4" s="20" t="s">
        <v>77</v>
      </c>
      <c r="O4" s="20" t="s">
        <v>942</v>
      </c>
    </row>
    <row r="5" spans="1:15" ht="60" customHeight="1">
      <c r="A5" s="8" t="s">
        <v>943</v>
      </c>
      <c r="B5" s="9" t="s">
        <v>944</v>
      </c>
      <c r="C5" s="9" t="s">
        <v>945</v>
      </c>
      <c r="D5" s="9" t="s">
        <v>945</v>
      </c>
      <c r="E5" s="9" t="s">
        <v>945</v>
      </c>
      <c r="F5" s="8"/>
      <c r="G5" s="8" t="s">
        <v>143</v>
      </c>
      <c r="H5" s="8"/>
      <c r="I5" s="8" t="s">
        <v>422</v>
      </c>
      <c r="J5" s="8" t="s">
        <v>85</v>
      </c>
      <c r="K5" s="8" t="s">
        <v>69</v>
      </c>
      <c r="L5" s="9"/>
      <c r="M5" s="9"/>
      <c r="N5" s="20" t="s">
        <v>77</v>
      </c>
      <c r="O5" s="20" t="s">
        <v>942</v>
      </c>
    </row>
    <row r="6" spans="1:15" ht="60" customHeight="1">
      <c r="A6" s="8" t="s">
        <v>946</v>
      </c>
      <c r="B6" s="9" t="s">
        <v>947</v>
      </c>
      <c r="C6" s="9" t="s">
        <v>945</v>
      </c>
      <c r="D6" s="9" t="s">
        <v>945</v>
      </c>
      <c r="E6" s="9" t="s">
        <v>945</v>
      </c>
      <c r="F6" s="8"/>
      <c r="G6" s="8" t="s">
        <v>143</v>
      </c>
      <c r="H6" s="8"/>
      <c r="I6" s="8" t="s">
        <v>422</v>
      </c>
      <c r="J6" s="8" t="s">
        <v>85</v>
      </c>
      <c r="K6" s="8" t="s">
        <v>69</v>
      </c>
      <c r="L6" s="9"/>
      <c r="M6" s="9"/>
      <c r="N6" s="20" t="s">
        <v>77</v>
      </c>
      <c r="O6" s="20" t="s">
        <v>942</v>
      </c>
    </row>
    <row r="7" spans="1:15" ht="20.100000000000001" customHeight="1">
      <c r="A7" s="25" t="s">
        <v>948</v>
      </c>
      <c r="B7" s="28"/>
      <c r="C7" s="28"/>
      <c r="D7" s="28"/>
      <c r="E7" s="28"/>
      <c r="F7" s="28"/>
      <c r="G7" s="28"/>
      <c r="H7" s="28"/>
      <c r="I7" s="28"/>
      <c r="J7" s="28"/>
      <c r="K7" s="28"/>
      <c r="L7" s="28"/>
      <c r="M7" s="29"/>
    </row>
    <row r="8" spans="1:15" ht="60" customHeight="1">
      <c r="A8" s="8" t="s">
        <v>949</v>
      </c>
      <c r="B8" s="9" t="s">
        <v>950</v>
      </c>
      <c r="C8" s="9" t="s">
        <v>951</v>
      </c>
      <c r="D8" s="9" t="s">
        <v>952</v>
      </c>
      <c r="E8" s="9" t="s">
        <v>953</v>
      </c>
      <c r="F8" s="8"/>
      <c r="G8" s="8" t="s">
        <v>143</v>
      </c>
      <c r="H8" s="8"/>
      <c r="I8" s="8" t="s">
        <v>954</v>
      </c>
      <c r="J8" s="8" t="s">
        <v>85</v>
      </c>
      <c r="K8" s="8" t="s">
        <v>306</v>
      </c>
      <c r="L8" s="9"/>
      <c r="M8" s="9"/>
      <c r="N8" s="20" t="s">
        <v>77</v>
      </c>
      <c r="O8" s="20" t="s">
        <v>942</v>
      </c>
    </row>
    <row r="9" spans="1:15" ht="20.100000000000001" customHeight="1">
      <c r="A9" s="25" t="s">
        <v>215</v>
      </c>
      <c r="B9" s="28"/>
      <c r="C9" s="28"/>
      <c r="D9" s="28"/>
      <c r="E9" s="28"/>
      <c r="F9" s="28"/>
      <c r="G9" s="28"/>
      <c r="H9" s="28"/>
      <c r="I9" s="28"/>
      <c r="J9" s="28"/>
      <c r="K9" s="28"/>
      <c r="L9" s="28"/>
      <c r="M9" s="29"/>
    </row>
    <row r="10" spans="1:15" ht="60" customHeight="1">
      <c r="A10" s="8" t="s">
        <v>955</v>
      </c>
      <c r="B10" s="9" t="s">
        <v>956</v>
      </c>
      <c r="C10" s="9" t="s">
        <v>957</v>
      </c>
      <c r="D10" s="9" t="s">
        <v>958</v>
      </c>
      <c r="E10" s="9" t="s">
        <v>959</v>
      </c>
      <c r="F10" s="8"/>
      <c r="G10" s="8" t="s">
        <v>143</v>
      </c>
      <c r="H10" s="8"/>
      <c r="I10" s="8" t="s">
        <v>422</v>
      </c>
      <c r="J10" s="8" t="s">
        <v>68</v>
      </c>
      <c r="K10" s="8" t="s">
        <v>69</v>
      </c>
      <c r="L10" s="9"/>
      <c r="M10" s="9"/>
      <c r="N10" s="20" t="s">
        <v>77</v>
      </c>
      <c r="O10" s="20" t="s">
        <v>942</v>
      </c>
    </row>
    <row r="11" spans="1:15" ht="60" customHeight="1">
      <c r="A11" s="8" t="s">
        <v>960</v>
      </c>
      <c r="B11" s="9" t="s">
        <v>961</v>
      </c>
      <c r="C11" s="9" t="s">
        <v>962</v>
      </c>
      <c r="D11" s="9" t="s">
        <v>963</v>
      </c>
      <c r="E11" s="9" t="s">
        <v>964</v>
      </c>
      <c r="F11" s="8"/>
      <c r="G11" s="8" t="s">
        <v>143</v>
      </c>
      <c r="H11" s="8"/>
      <c r="I11" s="8" t="s">
        <v>422</v>
      </c>
      <c r="J11" s="8" t="s">
        <v>85</v>
      </c>
      <c r="K11" s="8" t="s">
        <v>69</v>
      </c>
      <c r="L11" s="9"/>
      <c r="M11" s="9"/>
      <c r="N11" s="20" t="s">
        <v>77</v>
      </c>
      <c r="O11" s="20" t="s">
        <v>942</v>
      </c>
    </row>
    <row r="12" spans="1:15" ht="60" customHeight="1">
      <c r="A12" s="8" t="s">
        <v>965</v>
      </c>
      <c r="B12" s="9" t="s">
        <v>966</v>
      </c>
      <c r="C12" s="9" t="s">
        <v>962</v>
      </c>
      <c r="D12" s="9" t="s">
        <v>967</v>
      </c>
      <c r="E12" s="9" t="s">
        <v>968</v>
      </c>
      <c r="F12" s="8"/>
      <c r="G12" s="8" t="s">
        <v>969</v>
      </c>
      <c r="H12" s="8"/>
      <c r="I12" s="8" t="s">
        <v>422</v>
      </c>
      <c r="J12" s="8" t="s">
        <v>68</v>
      </c>
      <c r="K12" s="8" t="s">
        <v>69</v>
      </c>
      <c r="L12" s="9"/>
      <c r="M12" s="9"/>
      <c r="N12" s="20" t="s">
        <v>77</v>
      </c>
      <c r="O12" s="20" t="s">
        <v>942</v>
      </c>
    </row>
    <row r="13" spans="1:15" ht="60" customHeight="1">
      <c r="A13" s="8" t="s">
        <v>970</v>
      </c>
      <c r="B13" s="9" t="s">
        <v>971</v>
      </c>
      <c r="C13" s="9" t="s">
        <v>972</v>
      </c>
      <c r="D13" s="9" t="s">
        <v>973</v>
      </c>
      <c r="E13" s="9" t="s">
        <v>974</v>
      </c>
      <c r="F13" s="8"/>
      <c r="G13" s="8" t="s">
        <v>143</v>
      </c>
      <c r="H13" s="8"/>
      <c r="I13" s="8" t="s">
        <v>113</v>
      </c>
      <c r="J13" s="8" t="s">
        <v>85</v>
      </c>
      <c r="K13" s="8" t="s">
        <v>306</v>
      </c>
      <c r="L13" s="9"/>
      <c r="M13" s="9"/>
      <c r="N13" s="20" t="s">
        <v>77</v>
      </c>
      <c r="O13" s="20" t="s">
        <v>942</v>
      </c>
    </row>
    <row r="14" spans="1:15" ht="20.100000000000001" customHeight="1">
      <c r="A14" s="25" t="s">
        <v>312</v>
      </c>
      <c r="B14" s="28"/>
      <c r="C14" s="28"/>
      <c r="D14" s="28"/>
      <c r="E14" s="28"/>
      <c r="F14" s="28"/>
      <c r="G14" s="28"/>
      <c r="H14" s="28"/>
      <c r="I14" s="28"/>
      <c r="J14" s="28"/>
      <c r="K14" s="28"/>
      <c r="L14" s="28"/>
      <c r="M14" s="29"/>
    </row>
    <row r="15" spans="1:15" ht="60" customHeight="1">
      <c r="A15" s="8" t="s">
        <v>975</v>
      </c>
      <c r="B15" s="9" t="s">
        <v>976</v>
      </c>
      <c r="C15" s="9" t="s">
        <v>962</v>
      </c>
      <c r="D15" s="9" t="s">
        <v>977</v>
      </c>
      <c r="E15" s="9" t="s">
        <v>978</v>
      </c>
      <c r="F15" s="8"/>
      <c r="G15" s="8" t="s">
        <v>969</v>
      </c>
      <c r="H15" s="8"/>
      <c r="I15" s="8" t="s">
        <v>422</v>
      </c>
      <c r="J15" s="8" t="s">
        <v>85</v>
      </c>
      <c r="K15" s="8" t="s">
        <v>69</v>
      </c>
      <c r="L15" s="9"/>
      <c r="M15" s="9"/>
      <c r="N15" s="20" t="s">
        <v>77</v>
      </c>
      <c r="O15" s="20" t="s">
        <v>942</v>
      </c>
    </row>
    <row r="16" spans="1:15" ht="60" customHeight="1">
      <c r="A16" s="8" t="s">
        <v>979</v>
      </c>
      <c r="B16" s="9" t="s">
        <v>980</v>
      </c>
      <c r="C16" s="9" t="s">
        <v>962</v>
      </c>
      <c r="D16" s="9" t="s">
        <v>981</v>
      </c>
      <c r="E16" s="9" t="s">
        <v>982</v>
      </c>
      <c r="F16" s="8"/>
      <c r="G16" s="8" t="s">
        <v>969</v>
      </c>
      <c r="H16" s="8"/>
      <c r="I16" s="8" t="s">
        <v>422</v>
      </c>
      <c r="J16" s="8" t="s">
        <v>85</v>
      </c>
      <c r="K16" s="8" t="s">
        <v>69</v>
      </c>
      <c r="L16" s="9"/>
      <c r="M16" s="9"/>
      <c r="N16" s="20" t="s">
        <v>77</v>
      </c>
      <c r="O16" s="20" t="s">
        <v>942</v>
      </c>
    </row>
    <row r="17" spans="1:15" ht="60" customHeight="1">
      <c r="A17" s="8" t="s">
        <v>983</v>
      </c>
      <c r="B17" s="9" t="s">
        <v>984</v>
      </c>
      <c r="C17" s="9" t="s">
        <v>962</v>
      </c>
      <c r="D17" s="9" t="s">
        <v>985</v>
      </c>
      <c r="E17" s="9" t="s">
        <v>986</v>
      </c>
      <c r="F17" s="8"/>
      <c r="G17" s="8" t="s">
        <v>969</v>
      </c>
      <c r="H17" s="8"/>
      <c r="I17" s="8" t="s">
        <v>422</v>
      </c>
      <c r="J17" s="8" t="s">
        <v>93</v>
      </c>
      <c r="K17" s="8" t="s">
        <v>69</v>
      </c>
      <c r="L17" s="9"/>
      <c r="M17" s="9"/>
      <c r="N17" s="20" t="s">
        <v>77</v>
      </c>
      <c r="O17" s="20" t="s">
        <v>942</v>
      </c>
    </row>
    <row r="18" spans="1:15" ht="60" customHeight="1">
      <c r="A18" s="8" t="s">
        <v>987</v>
      </c>
      <c r="B18" s="9" t="s">
        <v>988</v>
      </c>
      <c r="C18" s="9" t="s">
        <v>962</v>
      </c>
      <c r="D18" s="9" t="s">
        <v>989</v>
      </c>
      <c r="E18" s="9" t="s">
        <v>990</v>
      </c>
      <c r="F18" s="8"/>
      <c r="G18" s="8" t="s">
        <v>969</v>
      </c>
      <c r="H18" s="8"/>
      <c r="I18" s="8" t="s">
        <v>422</v>
      </c>
      <c r="J18" s="8" t="s">
        <v>85</v>
      </c>
      <c r="K18" s="8" t="s">
        <v>69</v>
      </c>
      <c r="L18" s="9"/>
      <c r="M18" s="9"/>
      <c r="N18" s="20" t="s">
        <v>77</v>
      </c>
      <c r="O18" s="20" t="s">
        <v>942</v>
      </c>
    </row>
    <row r="19" spans="1:15" ht="60" customHeight="1">
      <c r="A19" s="8" t="s">
        <v>991</v>
      </c>
      <c r="B19" s="9" t="s">
        <v>992</v>
      </c>
      <c r="C19" s="9" t="s">
        <v>945</v>
      </c>
      <c r="D19" s="9" t="s">
        <v>993</v>
      </c>
      <c r="E19" s="9" t="s">
        <v>945</v>
      </c>
      <c r="F19" s="8"/>
      <c r="G19" s="8" t="s">
        <v>143</v>
      </c>
      <c r="H19" s="8"/>
      <c r="I19" s="8" t="s">
        <v>422</v>
      </c>
      <c r="J19" s="8" t="s">
        <v>93</v>
      </c>
      <c r="K19" s="8" t="s">
        <v>69</v>
      </c>
      <c r="L19" s="9"/>
      <c r="M19" s="9"/>
      <c r="N19" s="20" t="s">
        <v>77</v>
      </c>
      <c r="O19" s="20" t="s">
        <v>942</v>
      </c>
    </row>
    <row r="20" spans="1:15" ht="60" customHeight="1">
      <c r="A20" s="8" t="s">
        <v>994</v>
      </c>
      <c r="B20" s="9" t="s">
        <v>995</v>
      </c>
      <c r="C20" s="9" t="s">
        <v>996</v>
      </c>
      <c r="D20" s="9" t="s">
        <v>997</v>
      </c>
      <c r="E20" s="9" t="s">
        <v>998</v>
      </c>
      <c r="F20" s="8"/>
      <c r="G20" s="8" t="s">
        <v>143</v>
      </c>
      <c r="H20" s="8"/>
      <c r="I20" s="8" t="s">
        <v>113</v>
      </c>
      <c r="J20" s="8" t="s">
        <v>68</v>
      </c>
      <c r="K20" s="8" t="s">
        <v>306</v>
      </c>
      <c r="L20" s="9"/>
      <c r="M20" s="9"/>
      <c r="N20" s="20" t="s">
        <v>77</v>
      </c>
      <c r="O20" s="20" t="s">
        <v>942</v>
      </c>
    </row>
    <row r="21" spans="1:15" ht="20.100000000000001" customHeight="1">
      <c r="A21" s="25" t="s">
        <v>423</v>
      </c>
      <c r="B21" s="28"/>
      <c r="C21" s="28"/>
      <c r="D21" s="28"/>
      <c r="E21" s="28"/>
      <c r="F21" s="28"/>
      <c r="G21" s="28"/>
      <c r="H21" s="28"/>
      <c r="I21" s="28"/>
      <c r="J21" s="28"/>
      <c r="K21" s="28"/>
      <c r="L21" s="28"/>
      <c r="M21" s="29"/>
    </row>
    <row r="22" spans="1:15" ht="60" customHeight="1">
      <c r="A22" s="8" t="s">
        <v>999</v>
      </c>
      <c r="B22" s="9" t="s">
        <v>1000</v>
      </c>
      <c r="C22" s="9" t="s">
        <v>945</v>
      </c>
      <c r="D22" s="9" t="s">
        <v>1001</v>
      </c>
      <c r="E22" s="9" t="s">
        <v>945</v>
      </c>
      <c r="F22" s="8"/>
      <c r="G22" s="8" t="s">
        <v>143</v>
      </c>
      <c r="H22" s="8"/>
      <c r="I22" s="8" t="s">
        <v>422</v>
      </c>
      <c r="J22" s="8" t="s">
        <v>85</v>
      </c>
      <c r="K22" s="8" t="s">
        <v>69</v>
      </c>
      <c r="L22" s="9"/>
      <c r="M22" s="9"/>
      <c r="N22" s="20" t="s">
        <v>77</v>
      </c>
      <c r="O22" s="20" t="s">
        <v>942</v>
      </c>
    </row>
    <row r="23" spans="1:15" ht="60" customHeight="1">
      <c r="A23" s="8" t="s">
        <v>1002</v>
      </c>
      <c r="B23" s="9" t="s">
        <v>1003</v>
      </c>
      <c r="C23" s="9" t="s">
        <v>945</v>
      </c>
      <c r="D23" s="9" t="s">
        <v>1004</v>
      </c>
      <c r="E23" s="9" t="s">
        <v>945</v>
      </c>
      <c r="F23" s="8"/>
      <c r="G23" s="8" t="s">
        <v>143</v>
      </c>
      <c r="H23" s="8"/>
      <c r="I23" s="8" t="s">
        <v>422</v>
      </c>
      <c r="J23" s="8" t="s">
        <v>85</v>
      </c>
      <c r="K23" s="8" t="s">
        <v>69</v>
      </c>
      <c r="L23" s="9"/>
      <c r="M23" s="9"/>
      <c r="N23" s="20" t="s">
        <v>77</v>
      </c>
      <c r="O23" s="20" t="s">
        <v>942</v>
      </c>
    </row>
    <row r="24" spans="1:15" ht="60" customHeight="1">
      <c r="A24" s="8" t="s">
        <v>1005</v>
      </c>
      <c r="B24" s="9" t="s">
        <v>1006</v>
      </c>
      <c r="C24" s="9" t="s">
        <v>945</v>
      </c>
      <c r="D24" s="9" t="s">
        <v>1007</v>
      </c>
      <c r="E24" s="9" t="s">
        <v>945</v>
      </c>
      <c r="F24" s="8"/>
      <c r="G24" s="8" t="s">
        <v>143</v>
      </c>
      <c r="H24" s="8"/>
      <c r="I24" s="8" t="s">
        <v>422</v>
      </c>
      <c r="J24" s="8" t="s">
        <v>93</v>
      </c>
      <c r="K24" s="8" t="s">
        <v>69</v>
      </c>
      <c r="L24" s="9"/>
      <c r="M24" s="9"/>
      <c r="N24" s="20" t="s">
        <v>77</v>
      </c>
      <c r="O24" s="20" t="s">
        <v>942</v>
      </c>
    </row>
    <row r="25" spans="1:15" ht="20.100000000000001" customHeight="1">
      <c r="A25" s="25" t="s">
        <v>567</v>
      </c>
      <c r="B25" s="28"/>
      <c r="C25" s="28"/>
      <c r="D25" s="28"/>
      <c r="E25" s="28"/>
      <c r="F25" s="28"/>
      <c r="G25" s="28"/>
      <c r="H25" s="28"/>
      <c r="I25" s="28"/>
      <c r="J25" s="28"/>
      <c r="K25" s="28"/>
      <c r="L25" s="28"/>
      <c r="M25" s="29"/>
    </row>
    <row r="26" spans="1:15" ht="60" customHeight="1">
      <c r="A26" s="8" t="s">
        <v>1008</v>
      </c>
      <c r="B26" s="9" t="s">
        <v>1009</v>
      </c>
      <c r="C26" s="9" t="s">
        <v>1010</v>
      </c>
      <c r="D26" s="9" t="s">
        <v>1011</v>
      </c>
      <c r="E26" s="9" t="s">
        <v>1012</v>
      </c>
      <c r="F26" s="8"/>
      <c r="G26" s="8" t="s">
        <v>143</v>
      </c>
      <c r="H26" s="8"/>
      <c r="I26" s="8" t="s">
        <v>92</v>
      </c>
      <c r="J26" s="8" t="s">
        <v>85</v>
      </c>
      <c r="K26" s="8" t="s">
        <v>306</v>
      </c>
      <c r="L26" s="9"/>
      <c r="M26" s="9"/>
      <c r="N26" s="20" t="s">
        <v>77</v>
      </c>
      <c r="O26" s="20" t="s">
        <v>942</v>
      </c>
    </row>
    <row r="27" spans="1:15" ht="20.100000000000001" customHeight="1">
      <c r="A27" s="25" t="s">
        <v>748</v>
      </c>
      <c r="B27" s="28"/>
      <c r="C27" s="28"/>
      <c r="D27" s="28"/>
      <c r="E27" s="28"/>
      <c r="F27" s="28"/>
      <c r="G27" s="28"/>
      <c r="H27" s="28"/>
      <c r="I27" s="28"/>
      <c r="J27" s="28"/>
      <c r="K27" s="28"/>
      <c r="L27" s="28"/>
      <c r="M27" s="29"/>
    </row>
    <row r="28" spans="1:15" ht="60" customHeight="1">
      <c r="A28" s="8" t="s">
        <v>1013</v>
      </c>
      <c r="B28" s="9" t="s">
        <v>1014</v>
      </c>
      <c r="C28" s="9" t="s">
        <v>1015</v>
      </c>
      <c r="D28" s="9" t="s">
        <v>1016</v>
      </c>
      <c r="E28" s="9" t="s">
        <v>1017</v>
      </c>
      <c r="F28" s="8"/>
      <c r="G28" s="8" t="s">
        <v>143</v>
      </c>
      <c r="H28" s="8"/>
      <c r="I28" s="8" t="s">
        <v>113</v>
      </c>
      <c r="J28" s="8" t="s">
        <v>85</v>
      </c>
      <c r="K28" s="8" t="s">
        <v>306</v>
      </c>
      <c r="L28" s="9"/>
      <c r="M28" s="9"/>
      <c r="N28" s="20" t="s">
        <v>77</v>
      </c>
      <c r="O28" s="20" t="s">
        <v>942</v>
      </c>
    </row>
    <row r="29" spans="1:15" ht="20.100000000000001" customHeight="1">
      <c r="A29" s="25" t="s">
        <v>1018</v>
      </c>
      <c r="B29" s="28"/>
      <c r="C29" s="28"/>
      <c r="D29" s="28"/>
      <c r="E29" s="28"/>
      <c r="F29" s="28"/>
      <c r="G29" s="28"/>
      <c r="H29" s="28"/>
      <c r="I29" s="28"/>
      <c r="J29" s="28"/>
      <c r="K29" s="28"/>
      <c r="L29" s="28"/>
      <c r="M29" s="29"/>
    </row>
    <row r="30" spans="1:15" ht="60" customHeight="1">
      <c r="A30" s="8" t="s">
        <v>1019</v>
      </c>
      <c r="B30" s="9" t="s">
        <v>1020</v>
      </c>
      <c r="C30" s="9" t="s">
        <v>1021</v>
      </c>
      <c r="D30" s="9" t="s">
        <v>1022</v>
      </c>
      <c r="E30" s="9" t="s">
        <v>1023</v>
      </c>
      <c r="F30" s="8"/>
      <c r="G30" s="8" t="s">
        <v>969</v>
      </c>
      <c r="H30" s="8"/>
      <c r="I30" s="8" t="s">
        <v>67</v>
      </c>
      <c r="J30" s="8" t="s">
        <v>68</v>
      </c>
      <c r="K30" s="8" t="s">
        <v>913</v>
      </c>
      <c r="L30" s="9"/>
      <c r="M30" s="9"/>
      <c r="N30" s="20" t="s">
        <v>77</v>
      </c>
      <c r="O30" s="20" t="s">
        <v>942</v>
      </c>
    </row>
    <row r="31" spans="1:15" ht="60" customHeight="1">
      <c r="A31" s="8" t="s">
        <v>1024</v>
      </c>
      <c r="B31" s="9" t="s">
        <v>1025</v>
      </c>
      <c r="C31" s="9" t="s">
        <v>962</v>
      </c>
      <c r="D31" s="9" t="s">
        <v>1026</v>
      </c>
      <c r="E31" s="9" t="s">
        <v>1027</v>
      </c>
      <c r="F31" s="8"/>
      <c r="G31" s="8" t="s">
        <v>969</v>
      </c>
      <c r="H31" s="8"/>
      <c r="I31" s="8" t="s">
        <v>422</v>
      </c>
      <c r="J31" s="8" t="s">
        <v>85</v>
      </c>
      <c r="K31" s="8" t="s">
        <v>306</v>
      </c>
      <c r="L31" s="9"/>
      <c r="M31" s="9"/>
      <c r="N31" s="20" t="s">
        <v>77</v>
      </c>
      <c r="O31" s="20" t="s">
        <v>942</v>
      </c>
    </row>
    <row r="32" spans="1:15" ht="60" customHeight="1">
      <c r="A32" s="8" t="s">
        <v>1028</v>
      </c>
      <c r="B32" s="9" t="s">
        <v>1029</v>
      </c>
      <c r="C32" s="9" t="s">
        <v>962</v>
      </c>
      <c r="D32" s="9" t="s">
        <v>1030</v>
      </c>
      <c r="E32" s="9" t="s">
        <v>1031</v>
      </c>
      <c r="F32" s="8"/>
      <c r="G32" s="8" t="s">
        <v>969</v>
      </c>
      <c r="H32" s="8"/>
      <c r="I32" s="8" t="s">
        <v>422</v>
      </c>
      <c r="J32" s="8" t="s">
        <v>85</v>
      </c>
      <c r="K32" s="8" t="s">
        <v>306</v>
      </c>
      <c r="L32" s="9"/>
      <c r="M32" s="9"/>
      <c r="N32" s="20" t="s">
        <v>77</v>
      </c>
      <c r="O32" s="20" t="s">
        <v>942</v>
      </c>
    </row>
    <row r="33" spans="1:15" ht="60" customHeight="1">
      <c r="A33" s="8" t="s">
        <v>1032</v>
      </c>
      <c r="B33" s="9" t="s">
        <v>1033</v>
      </c>
      <c r="C33" s="9" t="s">
        <v>1034</v>
      </c>
      <c r="D33" s="9" t="s">
        <v>1035</v>
      </c>
      <c r="E33" s="9" t="s">
        <v>1036</v>
      </c>
      <c r="F33" s="8"/>
      <c r="G33" s="8" t="s">
        <v>969</v>
      </c>
      <c r="H33" s="8"/>
      <c r="I33" s="8" t="s">
        <v>67</v>
      </c>
      <c r="J33" s="8" t="s">
        <v>68</v>
      </c>
      <c r="K33" s="8" t="s">
        <v>306</v>
      </c>
      <c r="L33" s="9"/>
      <c r="M33" s="9"/>
      <c r="N33" s="20" t="s">
        <v>77</v>
      </c>
      <c r="O33" s="20" t="s">
        <v>942</v>
      </c>
    </row>
    <row r="34" spans="1:15" ht="60" customHeight="1">
      <c r="A34" s="8" t="s">
        <v>1037</v>
      </c>
      <c r="B34" s="9" t="s">
        <v>1038</v>
      </c>
      <c r="C34" s="9" t="s">
        <v>962</v>
      </c>
      <c r="D34" s="9" t="s">
        <v>1039</v>
      </c>
      <c r="E34" s="9" t="s">
        <v>1040</v>
      </c>
      <c r="F34" s="8"/>
      <c r="G34" s="8" t="s">
        <v>143</v>
      </c>
      <c r="H34" s="8"/>
      <c r="I34" s="8" t="s">
        <v>1041</v>
      </c>
      <c r="J34" s="8" t="s">
        <v>68</v>
      </c>
      <c r="K34" s="8" t="s">
        <v>69</v>
      </c>
      <c r="L34" s="9"/>
      <c r="M34" s="9"/>
      <c r="N34" s="20" t="s">
        <v>77</v>
      </c>
      <c r="O34" s="20" t="s">
        <v>942</v>
      </c>
    </row>
    <row r="35" spans="1:15" ht="60" customHeight="1">
      <c r="A35" s="8" t="s">
        <v>1042</v>
      </c>
      <c r="B35" s="9" t="s">
        <v>1043</v>
      </c>
      <c r="C35" s="9" t="s">
        <v>945</v>
      </c>
      <c r="D35" s="9" t="s">
        <v>945</v>
      </c>
      <c r="E35" s="9" t="s">
        <v>945</v>
      </c>
      <c r="F35" s="8"/>
      <c r="G35" s="8" t="s">
        <v>143</v>
      </c>
      <c r="H35" s="8"/>
      <c r="I35" s="8" t="s">
        <v>422</v>
      </c>
      <c r="J35" s="8" t="s">
        <v>85</v>
      </c>
      <c r="K35" s="8" t="s">
        <v>306</v>
      </c>
      <c r="L35" s="9"/>
      <c r="M35" s="9"/>
      <c r="N35" s="20" t="s">
        <v>77</v>
      </c>
      <c r="O35" s="20" t="s">
        <v>942</v>
      </c>
    </row>
    <row r="36" spans="1:15" ht="60" customHeight="1">
      <c r="A36" s="8" t="s">
        <v>1044</v>
      </c>
      <c r="B36" s="9" t="s">
        <v>1045</v>
      </c>
      <c r="C36" s="9" t="s">
        <v>945</v>
      </c>
      <c r="D36" s="9" t="s">
        <v>945</v>
      </c>
      <c r="E36" s="9" t="s">
        <v>945</v>
      </c>
      <c r="F36" s="8"/>
      <c r="G36" s="8" t="s">
        <v>143</v>
      </c>
      <c r="H36" s="8"/>
      <c r="I36" s="8" t="s">
        <v>422</v>
      </c>
      <c r="J36" s="8" t="s">
        <v>85</v>
      </c>
      <c r="K36" s="8" t="s">
        <v>306</v>
      </c>
      <c r="L36" s="9"/>
      <c r="M36" s="9"/>
      <c r="N36" s="20" t="s">
        <v>77</v>
      </c>
      <c r="O36" s="20" t="s">
        <v>942</v>
      </c>
    </row>
    <row r="37" spans="1:15" ht="60" customHeight="1">
      <c r="A37" s="8" t="s">
        <v>1046</v>
      </c>
      <c r="B37" s="9" t="s">
        <v>1047</v>
      </c>
      <c r="C37" s="9" t="s">
        <v>945</v>
      </c>
      <c r="D37" s="9" t="s">
        <v>945</v>
      </c>
      <c r="E37" s="9" t="s">
        <v>945</v>
      </c>
      <c r="F37" s="8"/>
      <c r="G37" s="8" t="s">
        <v>143</v>
      </c>
      <c r="H37" s="8"/>
      <c r="I37" s="8" t="s">
        <v>422</v>
      </c>
      <c r="J37" s="8" t="s">
        <v>85</v>
      </c>
      <c r="K37" s="8" t="s">
        <v>306</v>
      </c>
      <c r="L37" s="9"/>
      <c r="M37" s="9"/>
      <c r="N37" s="20" t="s">
        <v>77</v>
      </c>
      <c r="O37" s="20" t="s">
        <v>942</v>
      </c>
    </row>
    <row r="38" spans="1:15" ht="20.100000000000001" customHeight="1">
      <c r="A38" s="25" t="s">
        <v>1048</v>
      </c>
      <c r="B38" s="28"/>
      <c r="C38" s="28"/>
      <c r="D38" s="28"/>
      <c r="E38" s="28"/>
      <c r="F38" s="28"/>
      <c r="G38" s="28"/>
      <c r="H38" s="28"/>
      <c r="I38" s="28"/>
      <c r="J38" s="28"/>
      <c r="K38" s="28"/>
      <c r="L38" s="28"/>
      <c r="M38" s="29"/>
    </row>
    <row r="39" spans="1:15" ht="60" customHeight="1">
      <c r="A39" s="8" t="s">
        <v>1049</v>
      </c>
      <c r="B39" s="9" t="s">
        <v>1050</v>
      </c>
      <c r="C39" s="9" t="s">
        <v>962</v>
      </c>
      <c r="D39" s="9" t="s">
        <v>1051</v>
      </c>
      <c r="E39" s="9" t="s">
        <v>1052</v>
      </c>
      <c r="F39" s="8"/>
      <c r="G39" s="8" t="s">
        <v>969</v>
      </c>
      <c r="H39" s="8"/>
      <c r="I39" s="8" t="s">
        <v>67</v>
      </c>
      <c r="J39" s="8" t="s">
        <v>68</v>
      </c>
      <c r="K39" s="8" t="s">
        <v>913</v>
      </c>
      <c r="L39" s="9"/>
      <c r="M39" s="9"/>
      <c r="N39" s="20" t="s">
        <v>77</v>
      </c>
      <c r="O39" s="20" t="s">
        <v>942</v>
      </c>
    </row>
    <row r="40" spans="1:15" ht="60" customHeight="1">
      <c r="A40" s="8" t="s">
        <v>1053</v>
      </c>
      <c r="B40" s="9" t="s">
        <v>1054</v>
      </c>
      <c r="C40" s="9" t="s">
        <v>962</v>
      </c>
      <c r="D40" s="9" t="s">
        <v>1055</v>
      </c>
      <c r="E40" s="9" t="s">
        <v>1056</v>
      </c>
      <c r="F40" s="8"/>
      <c r="G40" s="8" t="s">
        <v>969</v>
      </c>
      <c r="H40" s="8"/>
      <c r="I40" s="8" t="s">
        <v>92</v>
      </c>
      <c r="J40" s="8" t="s">
        <v>85</v>
      </c>
      <c r="K40" s="8" t="s">
        <v>913</v>
      </c>
      <c r="L40" s="9"/>
      <c r="M40" s="9"/>
      <c r="N40" s="20" t="s">
        <v>77</v>
      </c>
      <c r="O40" s="20" t="s">
        <v>942</v>
      </c>
    </row>
    <row r="41" spans="1:15" ht="60" customHeight="1">
      <c r="A41" s="8" t="s">
        <v>1057</v>
      </c>
      <c r="B41" s="9" t="s">
        <v>1058</v>
      </c>
      <c r="C41" s="9" t="s">
        <v>962</v>
      </c>
      <c r="D41" s="9" t="s">
        <v>1059</v>
      </c>
      <c r="E41" s="9" t="s">
        <v>1060</v>
      </c>
      <c r="F41" s="8"/>
      <c r="G41" s="8" t="s">
        <v>969</v>
      </c>
      <c r="H41" s="8"/>
      <c r="I41" s="8" t="s">
        <v>422</v>
      </c>
      <c r="J41" s="8" t="s">
        <v>85</v>
      </c>
      <c r="K41" s="8" t="s">
        <v>306</v>
      </c>
      <c r="L41" s="9"/>
      <c r="M41" s="9"/>
      <c r="N41" s="20" t="s">
        <v>77</v>
      </c>
      <c r="O41" s="20" t="s">
        <v>942</v>
      </c>
    </row>
    <row r="42" spans="1:15" ht="60" customHeight="1">
      <c r="A42" s="8" t="s">
        <v>1061</v>
      </c>
      <c r="B42" s="9" t="s">
        <v>1062</v>
      </c>
      <c r="C42" s="9" t="s">
        <v>962</v>
      </c>
      <c r="D42" s="9" t="s">
        <v>1063</v>
      </c>
      <c r="E42" s="9" t="s">
        <v>1064</v>
      </c>
      <c r="F42" s="8"/>
      <c r="G42" s="8" t="s">
        <v>143</v>
      </c>
      <c r="H42" s="8"/>
      <c r="I42" s="8" t="s">
        <v>422</v>
      </c>
      <c r="J42" s="8" t="s">
        <v>68</v>
      </c>
      <c r="K42" s="8" t="s">
        <v>306</v>
      </c>
      <c r="L42" s="9"/>
      <c r="M42" s="9"/>
      <c r="N42" s="20" t="s">
        <v>77</v>
      </c>
      <c r="O42" s="20" t="s">
        <v>942</v>
      </c>
    </row>
    <row r="43" spans="1:15" ht="60" customHeight="1">
      <c r="A43" s="8" t="s">
        <v>1065</v>
      </c>
      <c r="B43" s="9" t="s">
        <v>1066</v>
      </c>
      <c r="C43" s="9" t="s">
        <v>1067</v>
      </c>
      <c r="D43" s="9" t="s">
        <v>1068</v>
      </c>
      <c r="E43" s="9" t="s">
        <v>1069</v>
      </c>
      <c r="F43" s="8"/>
      <c r="G43" s="8" t="s">
        <v>143</v>
      </c>
      <c r="H43" s="8"/>
      <c r="I43" s="8" t="s">
        <v>92</v>
      </c>
      <c r="J43" s="8" t="s">
        <v>68</v>
      </c>
      <c r="K43" s="8" t="s">
        <v>306</v>
      </c>
      <c r="L43" s="9"/>
      <c r="M43" s="9"/>
      <c r="N43" s="20" t="s">
        <v>77</v>
      </c>
      <c r="O43" s="20" t="s">
        <v>942</v>
      </c>
    </row>
    <row r="44" spans="1:15" ht="60" customHeight="1">
      <c r="A44" s="8" t="s">
        <v>1070</v>
      </c>
      <c r="B44" s="9" t="s">
        <v>1071</v>
      </c>
      <c r="C44" s="9" t="s">
        <v>1072</v>
      </c>
      <c r="D44" s="9" t="s">
        <v>1073</v>
      </c>
      <c r="E44" s="9" t="s">
        <v>1074</v>
      </c>
      <c r="F44" s="8"/>
      <c r="G44" s="8" t="s">
        <v>143</v>
      </c>
      <c r="H44" s="8"/>
      <c r="I44" s="8" t="s">
        <v>422</v>
      </c>
      <c r="J44" s="8" t="s">
        <v>68</v>
      </c>
      <c r="K44" s="8" t="s">
        <v>306</v>
      </c>
      <c r="L44" s="9"/>
      <c r="M44" s="9"/>
      <c r="N44" s="20" t="s">
        <v>77</v>
      </c>
      <c r="O44" s="20" t="s">
        <v>942</v>
      </c>
    </row>
    <row r="45" spans="1:15" ht="60" customHeight="1">
      <c r="A45" s="8" t="s">
        <v>1075</v>
      </c>
      <c r="B45" s="9" t="s">
        <v>1076</v>
      </c>
      <c r="C45" s="9" t="s">
        <v>1077</v>
      </c>
      <c r="D45" s="9" t="s">
        <v>1078</v>
      </c>
      <c r="E45" s="9" t="s">
        <v>1079</v>
      </c>
      <c r="F45" s="8"/>
      <c r="G45" s="8" t="s">
        <v>143</v>
      </c>
      <c r="H45" s="8"/>
      <c r="I45" s="8" t="s">
        <v>422</v>
      </c>
      <c r="J45" s="8" t="s">
        <v>85</v>
      </c>
      <c r="K45" s="8" t="s">
        <v>69</v>
      </c>
      <c r="L45" s="9"/>
      <c r="M45" s="9"/>
      <c r="N45" s="20" t="s">
        <v>77</v>
      </c>
      <c r="O45" s="20" t="s">
        <v>942</v>
      </c>
    </row>
    <row r="46" spans="1:15" ht="60" customHeight="1">
      <c r="A46" s="8" t="s">
        <v>1080</v>
      </c>
      <c r="B46" s="9" t="s">
        <v>1081</v>
      </c>
      <c r="C46" s="9" t="s">
        <v>1082</v>
      </c>
      <c r="D46" s="9" t="s">
        <v>1083</v>
      </c>
      <c r="E46" s="9" t="s">
        <v>1084</v>
      </c>
      <c r="F46" s="8"/>
      <c r="G46" s="8" t="s">
        <v>143</v>
      </c>
      <c r="H46" s="8"/>
      <c r="I46" s="8" t="s">
        <v>422</v>
      </c>
      <c r="J46" s="8" t="s">
        <v>85</v>
      </c>
      <c r="K46" s="8" t="s">
        <v>69</v>
      </c>
      <c r="L46" s="9"/>
      <c r="M46" s="9"/>
      <c r="N46" s="20" t="s">
        <v>77</v>
      </c>
      <c r="O46" s="20" t="s">
        <v>942</v>
      </c>
    </row>
    <row r="47" spans="1:15" ht="60" customHeight="1">
      <c r="A47" s="8" t="s">
        <v>1085</v>
      </c>
      <c r="B47" s="9" t="s">
        <v>1086</v>
      </c>
      <c r="C47" s="9" t="s">
        <v>1087</v>
      </c>
      <c r="D47" s="9" t="s">
        <v>1088</v>
      </c>
      <c r="E47" s="9" t="s">
        <v>1089</v>
      </c>
      <c r="F47" s="8"/>
      <c r="G47" s="8" t="s">
        <v>143</v>
      </c>
      <c r="H47" s="8"/>
      <c r="I47" s="8" t="s">
        <v>92</v>
      </c>
      <c r="J47" s="8" t="s">
        <v>68</v>
      </c>
      <c r="K47" s="8" t="s">
        <v>306</v>
      </c>
      <c r="L47" s="9"/>
      <c r="M47" s="9"/>
      <c r="N47" s="20" t="s">
        <v>77</v>
      </c>
      <c r="O47" s="20" t="s">
        <v>942</v>
      </c>
    </row>
    <row r="48" spans="1:15" ht="60" customHeight="1">
      <c r="A48" s="8" t="s">
        <v>1090</v>
      </c>
      <c r="B48" s="9" t="s">
        <v>1091</v>
      </c>
      <c r="C48" s="9" t="s">
        <v>945</v>
      </c>
      <c r="D48" s="9" t="s">
        <v>1092</v>
      </c>
      <c r="E48" s="9" t="s">
        <v>1093</v>
      </c>
      <c r="F48" s="8"/>
      <c r="G48" s="8" t="s">
        <v>143</v>
      </c>
      <c r="H48" s="8"/>
      <c r="I48" s="8" t="s">
        <v>67</v>
      </c>
      <c r="J48" s="8" t="s">
        <v>85</v>
      </c>
      <c r="K48" s="8" t="s">
        <v>306</v>
      </c>
      <c r="L48" s="9"/>
      <c r="M48" s="9"/>
      <c r="N48" s="20" t="s">
        <v>77</v>
      </c>
      <c r="O48" s="20" t="s">
        <v>942</v>
      </c>
    </row>
    <row r="49" spans="1:15" ht="60" customHeight="1">
      <c r="A49" s="8" t="s">
        <v>1094</v>
      </c>
      <c r="B49" s="9" t="s">
        <v>1095</v>
      </c>
      <c r="C49" s="9" t="s">
        <v>1096</v>
      </c>
      <c r="D49" s="9" t="s">
        <v>1097</v>
      </c>
      <c r="E49" s="9" t="s">
        <v>1098</v>
      </c>
      <c r="F49" s="8"/>
      <c r="G49" s="8" t="s">
        <v>969</v>
      </c>
      <c r="H49" s="8"/>
      <c r="I49" s="8" t="s">
        <v>67</v>
      </c>
      <c r="J49" s="8" t="s">
        <v>85</v>
      </c>
      <c r="K49" s="8" t="s">
        <v>306</v>
      </c>
      <c r="L49" s="9"/>
      <c r="M49" s="9"/>
      <c r="N49" s="20" t="s">
        <v>77</v>
      </c>
      <c r="O49" s="20" t="s">
        <v>942</v>
      </c>
    </row>
    <row r="50" spans="1:15" ht="20.100000000000001" customHeight="1">
      <c r="A50" s="25" t="s">
        <v>1099</v>
      </c>
      <c r="B50" s="28"/>
      <c r="C50" s="28"/>
      <c r="D50" s="28"/>
      <c r="E50" s="28"/>
      <c r="F50" s="28"/>
      <c r="G50" s="28"/>
      <c r="H50" s="28"/>
      <c r="I50" s="28"/>
      <c r="J50" s="28"/>
      <c r="K50" s="28"/>
      <c r="L50" s="28"/>
      <c r="M50" s="29"/>
    </row>
    <row r="51" spans="1:15" ht="60" customHeight="1">
      <c r="A51" s="8" t="s">
        <v>1100</v>
      </c>
      <c r="B51" s="9" t="s">
        <v>1101</v>
      </c>
      <c r="C51" s="9" t="s">
        <v>962</v>
      </c>
      <c r="D51" s="9" t="s">
        <v>1102</v>
      </c>
      <c r="E51" s="9" t="s">
        <v>1103</v>
      </c>
      <c r="F51" s="8"/>
      <c r="G51" s="8" t="s">
        <v>969</v>
      </c>
      <c r="H51" s="8"/>
      <c r="I51" s="8" t="s">
        <v>422</v>
      </c>
      <c r="J51" s="8" t="s">
        <v>85</v>
      </c>
      <c r="K51" s="8" t="s">
        <v>306</v>
      </c>
      <c r="L51" s="9"/>
      <c r="M51" s="9"/>
      <c r="N51" s="20" t="s">
        <v>77</v>
      </c>
      <c r="O51" s="20" t="s">
        <v>942</v>
      </c>
    </row>
    <row r="52" spans="1:15" ht="60" customHeight="1">
      <c r="A52" s="8" t="s">
        <v>1104</v>
      </c>
      <c r="B52" s="9" t="s">
        <v>1105</v>
      </c>
      <c r="C52" s="9" t="s">
        <v>962</v>
      </c>
      <c r="D52" s="9" t="s">
        <v>1106</v>
      </c>
      <c r="E52" s="9" t="s">
        <v>1107</v>
      </c>
      <c r="F52" s="8"/>
      <c r="G52" s="8" t="s">
        <v>969</v>
      </c>
      <c r="H52" s="8"/>
      <c r="I52" s="8" t="s">
        <v>422</v>
      </c>
      <c r="J52" s="8" t="s">
        <v>85</v>
      </c>
      <c r="K52" s="8" t="s">
        <v>306</v>
      </c>
      <c r="L52" s="9"/>
      <c r="M52" s="9"/>
      <c r="N52" s="20" t="s">
        <v>77</v>
      </c>
      <c r="O52" s="20" t="s">
        <v>942</v>
      </c>
    </row>
    <row r="53" spans="1:15" ht="60" customHeight="1">
      <c r="A53" s="8" t="s">
        <v>1108</v>
      </c>
      <c r="B53" s="9" t="s">
        <v>1109</v>
      </c>
      <c r="C53" s="9" t="s">
        <v>962</v>
      </c>
      <c r="D53" s="9" t="s">
        <v>1110</v>
      </c>
      <c r="E53" s="9" t="s">
        <v>1111</v>
      </c>
      <c r="F53" s="8"/>
      <c r="G53" s="8" t="s">
        <v>969</v>
      </c>
      <c r="H53" s="8"/>
      <c r="I53" s="8" t="s">
        <v>422</v>
      </c>
      <c r="J53" s="8" t="s">
        <v>85</v>
      </c>
      <c r="K53" s="8" t="s">
        <v>306</v>
      </c>
      <c r="L53" s="9"/>
      <c r="M53" s="9"/>
      <c r="N53" s="20" t="s">
        <v>77</v>
      </c>
      <c r="O53" s="20" t="s">
        <v>942</v>
      </c>
    </row>
    <row r="54" spans="1:15" ht="20.100000000000001" customHeight="1">
      <c r="A54" s="25" t="s">
        <v>1112</v>
      </c>
      <c r="B54" s="28"/>
      <c r="C54" s="28"/>
      <c r="D54" s="28"/>
      <c r="E54" s="28"/>
      <c r="F54" s="28"/>
      <c r="G54" s="28"/>
      <c r="H54" s="28"/>
      <c r="I54" s="28"/>
      <c r="J54" s="28"/>
      <c r="K54" s="28"/>
      <c r="L54" s="28"/>
      <c r="M54" s="29"/>
    </row>
    <row r="55" spans="1:15" ht="60" customHeight="1">
      <c r="A55" s="8" t="s">
        <v>1113</v>
      </c>
      <c r="B55" s="9" t="s">
        <v>1114</v>
      </c>
      <c r="C55" s="9" t="s">
        <v>1115</v>
      </c>
      <c r="D55" s="9" t="s">
        <v>1116</v>
      </c>
      <c r="E55" s="9" t="s">
        <v>1117</v>
      </c>
      <c r="F55" s="8"/>
      <c r="G55" s="8" t="s">
        <v>969</v>
      </c>
      <c r="H55" s="8"/>
      <c r="I55" s="8" t="s">
        <v>67</v>
      </c>
      <c r="J55" s="8" t="s">
        <v>85</v>
      </c>
      <c r="K55" s="8" t="s">
        <v>913</v>
      </c>
      <c r="L55" s="9"/>
      <c r="M55" s="9"/>
      <c r="N55" s="20" t="s">
        <v>77</v>
      </c>
      <c r="O55" s="20" t="s">
        <v>942</v>
      </c>
    </row>
    <row r="56" spans="1:15" ht="60" customHeight="1">
      <c r="A56" s="8" t="s">
        <v>1118</v>
      </c>
      <c r="B56" s="9" t="s">
        <v>1119</v>
      </c>
      <c r="C56" s="9" t="s">
        <v>962</v>
      </c>
      <c r="D56" s="9" t="s">
        <v>1120</v>
      </c>
      <c r="E56" s="9" t="s">
        <v>1121</v>
      </c>
      <c r="F56" s="8"/>
      <c r="G56" s="8" t="s">
        <v>969</v>
      </c>
      <c r="H56" s="8"/>
      <c r="I56" s="8" t="s">
        <v>67</v>
      </c>
      <c r="J56" s="8" t="s">
        <v>68</v>
      </c>
      <c r="K56" s="8" t="s">
        <v>913</v>
      </c>
      <c r="L56" s="9"/>
      <c r="M56" s="9"/>
      <c r="N56" s="20" t="s">
        <v>77</v>
      </c>
      <c r="O56" s="20" t="s">
        <v>942</v>
      </c>
    </row>
    <row r="57" spans="1:15" ht="60" customHeight="1">
      <c r="A57" s="8" t="s">
        <v>1122</v>
      </c>
      <c r="B57" s="9" t="s">
        <v>1123</v>
      </c>
      <c r="C57" s="9" t="s">
        <v>962</v>
      </c>
      <c r="D57" s="9" t="s">
        <v>1124</v>
      </c>
      <c r="E57" s="9" t="s">
        <v>1125</v>
      </c>
      <c r="F57" s="8"/>
      <c r="G57" s="8" t="s">
        <v>143</v>
      </c>
      <c r="H57" s="8"/>
      <c r="I57" s="8" t="s">
        <v>422</v>
      </c>
      <c r="J57" s="8" t="s">
        <v>68</v>
      </c>
      <c r="K57" s="8" t="s">
        <v>69</v>
      </c>
      <c r="L57" s="9"/>
      <c r="M57" s="9"/>
      <c r="N57" s="20" t="s">
        <v>77</v>
      </c>
      <c r="O57" s="20" t="s">
        <v>942</v>
      </c>
    </row>
    <row r="58" spans="1:15" ht="60" customHeight="1">
      <c r="A58" s="8" t="s">
        <v>1126</v>
      </c>
      <c r="B58" s="9" t="s">
        <v>1127</v>
      </c>
      <c r="C58" s="9" t="s">
        <v>1128</v>
      </c>
      <c r="D58" s="9" t="s">
        <v>1129</v>
      </c>
      <c r="E58" s="9" t="s">
        <v>1130</v>
      </c>
      <c r="F58" s="8"/>
      <c r="G58" s="8" t="s">
        <v>143</v>
      </c>
      <c r="H58" s="8"/>
      <c r="I58" s="8" t="s">
        <v>422</v>
      </c>
      <c r="J58" s="8" t="s">
        <v>68</v>
      </c>
      <c r="K58" s="8" t="s">
        <v>69</v>
      </c>
      <c r="L58" s="9"/>
      <c r="M58" s="9"/>
      <c r="N58" s="20" t="s">
        <v>77</v>
      </c>
      <c r="O58" s="20" t="s">
        <v>942</v>
      </c>
    </row>
    <row r="59" spans="1:15" ht="60" customHeight="1">
      <c r="A59" s="8" t="s">
        <v>1131</v>
      </c>
      <c r="B59" s="9" t="s">
        <v>1132</v>
      </c>
      <c r="C59" s="9" t="s">
        <v>962</v>
      </c>
      <c r="D59" s="9" t="s">
        <v>1133</v>
      </c>
      <c r="E59" s="9" t="s">
        <v>1134</v>
      </c>
      <c r="F59" s="8"/>
      <c r="G59" s="8" t="s">
        <v>143</v>
      </c>
      <c r="H59" s="8"/>
      <c r="I59" s="8" t="s">
        <v>1041</v>
      </c>
      <c r="J59" s="8" t="s">
        <v>68</v>
      </c>
      <c r="K59" s="8" t="s">
        <v>306</v>
      </c>
      <c r="L59" s="9"/>
      <c r="M59" s="9"/>
      <c r="N59" s="20" t="s">
        <v>77</v>
      </c>
      <c r="O59" s="20" t="s">
        <v>942</v>
      </c>
    </row>
    <row r="60" spans="1:15" ht="60" customHeight="1">
      <c r="A60" s="8" t="s">
        <v>1135</v>
      </c>
      <c r="B60" s="9" t="s">
        <v>1136</v>
      </c>
      <c r="C60" s="9" t="s">
        <v>1137</v>
      </c>
      <c r="D60" s="9" t="s">
        <v>1138</v>
      </c>
      <c r="E60" s="9" t="s">
        <v>1139</v>
      </c>
      <c r="F60" s="8"/>
      <c r="G60" s="8" t="s">
        <v>1140</v>
      </c>
      <c r="H60" s="8"/>
      <c r="I60" s="8" t="s">
        <v>92</v>
      </c>
      <c r="J60" s="8" t="s">
        <v>68</v>
      </c>
      <c r="K60" s="8" t="s">
        <v>913</v>
      </c>
      <c r="L60" s="9"/>
      <c r="M60" s="9"/>
      <c r="N60" s="20" t="s">
        <v>77</v>
      </c>
      <c r="O60" s="20" t="s">
        <v>942</v>
      </c>
    </row>
    <row r="61" spans="1:15" ht="60" customHeight="1">
      <c r="A61" s="8" t="s">
        <v>1141</v>
      </c>
      <c r="B61" s="9" t="s">
        <v>1142</v>
      </c>
      <c r="C61" s="9" t="s">
        <v>962</v>
      </c>
      <c r="D61" s="9" t="s">
        <v>1143</v>
      </c>
      <c r="E61" s="9" t="s">
        <v>1144</v>
      </c>
      <c r="F61" s="8"/>
      <c r="G61" s="8" t="s">
        <v>143</v>
      </c>
      <c r="H61" s="8"/>
      <c r="I61" s="8" t="s">
        <v>422</v>
      </c>
      <c r="J61" s="8" t="s">
        <v>85</v>
      </c>
      <c r="K61" s="8" t="s">
        <v>69</v>
      </c>
      <c r="L61" s="9"/>
      <c r="M61" s="9"/>
      <c r="N61" s="20" t="s">
        <v>77</v>
      </c>
      <c r="O61" s="20" t="s">
        <v>942</v>
      </c>
    </row>
    <row r="62" spans="1:15" ht="60" customHeight="1">
      <c r="A62" s="8" t="s">
        <v>1145</v>
      </c>
      <c r="B62" s="9" t="s">
        <v>1146</v>
      </c>
      <c r="C62" s="9" t="s">
        <v>962</v>
      </c>
      <c r="D62" s="9" t="s">
        <v>1147</v>
      </c>
      <c r="E62" s="9" t="s">
        <v>1148</v>
      </c>
      <c r="F62" s="8"/>
      <c r="G62" s="8" t="s">
        <v>143</v>
      </c>
      <c r="H62" s="8"/>
      <c r="I62" s="8" t="s">
        <v>92</v>
      </c>
      <c r="J62" s="8" t="s">
        <v>85</v>
      </c>
      <c r="K62" s="8" t="s">
        <v>306</v>
      </c>
      <c r="L62" s="9"/>
      <c r="M62" s="9"/>
      <c r="N62" s="20" t="s">
        <v>77</v>
      </c>
      <c r="O62" s="20" t="s">
        <v>942</v>
      </c>
    </row>
    <row r="63" spans="1:15" ht="60" customHeight="1">
      <c r="A63" s="8" t="s">
        <v>1149</v>
      </c>
      <c r="B63" s="9" t="s">
        <v>1150</v>
      </c>
      <c r="C63" s="9" t="s">
        <v>945</v>
      </c>
      <c r="D63" s="9" t="s">
        <v>945</v>
      </c>
      <c r="E63" s="9" t="s">
        <v>945</v>
      </c>
      <c r="F63" s="8"/>
      <c r="G63" s="8" t="s">
        <v>143</v>
      </c>
      <c r="H63" s="8"/>
      <c r="I63" s="8" t="s">
        <v>422</v>
      </c>
      <c r="J63" s="8" t="s">
        <v>85</v>
      </c>
      <c r="K63" s="8" t="s">
        <v>69</v>
      </c>
      <c r="L63" s="9"/>
      <c r="M63" s="9"/>
      <c r="N63" s="20" t="s">
        <v>77</v>
      </c>
      <c r="O63" s="20" t="s">
        <v>942</v>
      </c>
    </row>
    <row r="64" spans="1:15" ht="60" customHeight="1">
      <c r="A64" s="8" t="s">
        <v>1151</v>
      </c>
      <c r="B64" s="9" t="s">
        <v>1152</v>
      </c>
      <c r="C64" s="9" t="s">
        <v>945</v>
      </c>
      <c r="D64" s="9" t="s">
        <v>945</v>
      </c>
      <c r="E64" s="9" t="s">
        <v>945</v>
      </c>
      <c r="F64" s="8"/>
      <c r="G64" s="8" t="s">
        <v>143</v>
      </c>
      <c r="H64" s="8"/>
      <c r="I64" s="8" t="s">
        <v>422</v>
      </c>
      <c r="J64" s="8" t="s">
        <v>1153</v>
      </c>
      <c r="K64" s="8" t="s">
        <v>306</v>
      </c>
      <c r="L64" s="9"/>
      <c r="M64" s="9"/>
      <c r="N64" s="20" t="s">
        <v>77</v>
      </c>
      <c r="O64" s="20" t="s">
        <v>942</v>
      </c>
    </row>
    <row r="65" spans="1:15" ht="60" customHeight="1">
      <c r="A65" s="8" t="s">
        <v>1154</v>
      </c>
      <c r="B65" s="9" t="s">
        <v>1155</v>
      </c>
      <c r="C65" s="9" t="s">
        <v>945</v>
      </c>
      <c r="D65" s="9" t="s">
        <v>945</v>
      </c>
      <c r="E65" s="9" t="s">
        <v>945</v>
      </c>
      <c r="F65" s="8"/>
      <c r="G65" s="8" t="s">
        <v>143</v>
      </c>
      <c r="H65" s="8"/>
      <c r="I65" s="8" t="s">
        <v>422</v>
      </c>
      <c r="J65" s="8" t="s">
        <v>1153</v>
      </c>
      <c r="K65" s="8" t="s">
        <v>306</v>
      </c>
      <c r="L65" s="9"/>
      <c r="M65" s="9"/>
      <c r="N65" s="20" t="s">
        <v>77</v>
      </c>
      <c r="O65" s="20" t="s">
        <v>942</v>
      </c>
    </row>
    <row r="66" spans="1:15" ht="60" customHeight="1">
      <c r="A66" s="8" t="s">
        <v>1156</v>
      </c>
      <c r="B66" s="9" t="s">
        <v>1157</v>
      </c>
      <c r="C66" s="9" t="s">
        <v>945</v>
      </c>
      <c r="D66" s="9" t="s">
        <v>945</v>
      </c>
      <c r="E66" s="9" t="s">
        <v>945</v>
      </c>
      <c r="F66" s="8"/>
      <c r="G66" s="8" t="s">
        <v>143</v>
      </c>
      <c r="H66" s="8"/>
      <c r="I66" s="8" t="s">
        <v>422</v>
      </c>
      <c r="J66" s="8" t="s">
        <v>1158</v>
      </c>
      <c r="K66" s="8" t="s">
        <v>306</v>
      </c>
      <c r="L66" s="9"/>
      <c r="M66" s="9"/>
      <c r="N66" s="20" t="s">
        <v>77</v>
      </c>
      <c r="O66" s="20" t="s">
        <v>942</v>
      </c>
    </row>
    <row r="67" spans="1:15" ht="20.100000000000001" customHeight="1">
      <c r="A67" s="25" t="s">
        <v>1159</v>
      </c>
      <c r="B67" s="28"/>
      <c r="C67" s="28"/>
      <c r="D67" s="28"/>
      <c r="E67" s="28"/>
      <c r="F67" s="28"/>
      <c r="G67" s="28"/>
      <c r="H67" s="28"/>
      <c r="I67" s="28"/>
      <c r="J67" s="28"/>
      <c r="K67" s="28"/>
      <c r="L67" s="28"/>
      <c r="M67" s="29"/>
    </row>
    <row r="68" spans="1:15" ht="60" customHeight="1">
      <c r="A68" s="8" t="s">
        <v>1160</v>
      </c>
      <c r="B68" s="9" t="s">
        <v>1161</v>
      </c>
      <c r="C68" s="9" t="s">
        <v>962</v>
      </c>
      <c r="D68" s="9" t="s">
        <v>1162</v>
      </c>
      <c r="E68" s="9" t="s">
        <v>1163</v>
      </c>
      <c r="F68" s="8"/>
      <c r="G68" s="8" t="s">
        <v>969</v>
      </c>
      <c r="H68" s="8"/>
      <c r="I68" s="8" t="s">
        <v>92</v>
      </c>
      <c r="J68" s="8" t="s">
        <v>68</v>
      </c>
      <c r="K68" s="8" t="s">
        <v>306</v>
      </c>
      <c r="L68" s="9"/>
      <c r="M68" s="9"/>
      <c r="N68" s="20" t="s">
        <v>77</v>
      </c>
      <c r="O68" s="20" t="s">
        <v>942</v>
      </c>
    </row>
    <row r="69" spans="1:15" ht="60" customHeight="1">
      <c r="A69" s="8" t="s">
        <v>1164</v>
      </c>
      <c r="B69" s="9" t="s">
        <v>1165</v>
      </c>
      <c r="C69" s="9" t="s">
        <v>1166</v>
      </c>
      <c r="D69" s="9" t="s">
        <v>1167</v>
      </c>
      <c r="E69" s="9" t="s">
        <v>1168</v>
      </c>
      <c r="F69" s="8"/>
      <c r="G69" s="8" t="s">
        <v>969</v>
      </c>
      <c r="H69" s="8"/>
      <c r="I69" s="8" t="s">
        <v>422</v>
      </c>
      <c r="J69" s="8" t="s">
        <v>85</v>
      </c>
      <c r="K69" s="8" t="s">
        <v>69</v>
      </c>
      <c r="L69" s="9"/>
      <c r="M69" s="9"/>
      <c r="N69" s="20" t="s">
        <v>77</v>
      </c>
      <c r="O69" s="20" t="s">
        <v>942</v>
      </c>
    </row>
    <row r="70" spans="1:15" ht="60" customHeight="1">
      <c r="A70" s="8" t="s">
        <v>1169</v>
      </c>
      <c r="B70" s="9" t="s">
        <v>1170</v>
      </c>
      <c r="C70" s="9" t="s">
        <v>962</v>
      </c>
      <c r="D70" s="9" t="s">
        <v>1171</v>
      </c>
      <c r="E70" s="9" t="s">
        <v>1172</v>
      </c>
      <c r="F70" s="8"/>
      <c r="G70" s="8" t="s">
        <v>969</v>
      </c>
      <c r="H70" s="8"/>
      <c r="I70" s="8" t="s">
        <v>422</v>
      </c>
      <c r="J70" s="8" t="s">
        <v>85</v>
      </c>
      <c r="K70" s="8" t="s">
        <v>69</v>
      </c>
      <c r="L70" s="9"/>
      <c r="M70" s="9"/>
      <c r="N70" s="20" t="s">
        <v>77</v>
      </c>
      <c r="O70" s="20" t="s">
        <v>942</v>
      </c>
    </row>
    <row r="71" spans="1:15" ht="60" customHeight="1">
      <c r="A71" s="8" t="s">
        <v>1173</v>
      </c>
      <c r="B71" s="9" t="s">
        <v>1174</v>
      </c>
      <c r="C71" s="9" t="s">
        <v>962</v>
      </c>
      <c r="D71" s="9" t="s">
        <v>1175</v>
      </c>
      <c r="E71" s="9" t="s">
        <v>1176</v>
      </c>
      <c r="F71" s="8"/>
      <c r="G71" s="8" t="s">
        <v>969</v>
      </c>
      <c r="H71" s="8"/>
      <c r="I71" s="8" t="s">
        <v>67</v>
      </c>
      <c r="J71" s="8" t="s">
        <v>85</v>
      </c>
      <c r="K71" s="8" t="s">
        <v>913</v>
      </c>
      <c r="L71" s="9"/>
      <c r="M71" s="9"/>
      <c r="N71" s="20" t="s">
        <v>77</v>
      </c>
      <c r="O71" s="20" t="s">
        <v>942</v>
      </c>
    </row>
    <row r="72" spans="1:15" ht="60" customHeight="1">
      <c r="A72" s="8" t="s">
        <v>1177</v>
      </c>
      <c r="B72" s="9" t="s">
        <v>1178</v>
      </c>
      <c r="C72" s="9" t="s">
        <v>1179</v>
      </c>
      <c r="D72" s="9" t="s">
        <v>1180</v>
      </c>
      <c r="E72" s="9" t="s">
        <v>1181</v>
      </c>
      <c r="F72" s="8"/>
      <c r="G72" s="8" t="s">
        <v>1140</v>
      </c>
      <c r="H72" s="8"/>
      <c r="I72" s="8" t="s">
        <v>1041</v>
      </c>
      <c r="J72" s="8" t="s">
        <v>68</v>
      </c>
      <c r="K72" s="8" t="s">
        <v>306</v>
      </c>
      <c r="L72" s="9"/>
      <c r="M72" s="9"/>
      <c r="N72" s="20" t="s">
        <v>77</v>
      </c>
      <c r="O72" s="20" t="s">
        <v>942</v>
      </c>
    </row>
    <row r="73" spans="1:15" ht="60" customHeight="1">
      <c r="A73" s="8" t="s">
        <v>1182</v>
      </c>
      <c r="B73" s="9" t="s">
        <v>1183</v>
      </c>
      <c r="C73" s="9" t="s">
        <v>945</v>
      </c>
      <c r="D73" s="9" t="s">
        <v>1184</v>
      </c>
      <c r="E73" s="9" t="s">
        <v>945</v>
      </c>
      <c r="F73" s="8"/>
      <c r="G73" s="8" t="s">
        <v>143</v>
      </c>
      <c r="H73" s="8"/>
      <c r="I73" s="8" t="s">
        <v>422</v>
      </c>
      <c r="J73" s="8" t="s">
        <v>68</v>
      </c>
      <c r="K73" s="8" t="s">
        <v>69</v>
      </c>
      <c r="L73" s="9"/>
      <c r="M73" s="9"/>
      <c r="N73" s="20" t="s">
        <v>77</v>
      </c>
      <c r="O73" s="20" t="s">
        <v>942</v>
      </c>
    </row>
    <row r="74" spans="1:15" ht="60" customHeight="1">
      <c r="A74" s="8" t="s">
        <v>1185</v>
      </c>
      <c r="B74" s="9" t="s">
        <v>1186</v>
      </c>
      <c r="C74" s="9" t="s">
        <v>1187</v>
      </c>
      <c r="D74" s="9" t="s">
        <v>1188</v>
      </c>
      <c r="E74" s="9" t="s">
        <v>1189</v>
      </c>
      <c r="F74" s="8"/>
      <c r="G74" s="8" t="s">
        <v>143</v>
      </c>
      <c r="H74" s="8"/>
      <c r="I74" s="8" t="s">
        <v>92</v>
      </c>
      <c r="J74" s="8" t="s">
        <v>68</v>
      </c>
      <c r="K74" s="8" t="s">
        <v>306</v>
      </c>
      <c r="L74" s="9"/>
      <c r="M74" s="9"/>
      <c r="N74" s="20" t="s">
        <v>77</v>
      </c>
      <c r="O74" s="20" t="s">
        <v>942</v>
      </c>
    </row>
    <row r="75" spans="1:15" ht="60" customHeight="1">
      <c r="A75" s="8" t="s">
        <v>1190</v>
      </c>
      <c r="B75" s="9" t="s">
        <v>1191</v>
      </c>
      <c r="C75" s="9" t="s">
        <v>962</v>
      </c>
      <c r="D75" s="9" t="s">
        <v>1192</v>
      </c>
      <c r="E75" s="9" t="s">
        <v>1193</v>
      </c>
      <c r="F75" s="8"/>
      <c r="G75" s="8" t="s">
        <v>143</v>
      </c>
      <c r="H75" s="8"/>
      <c r="I75" s="8" t="s">
        <v>92</v>
      </c>
      <c r="J75" s="8" t="s">
        <v>68</v>
      </c>
      <c r="K75" s="8" t="s">
        <v>306</v>
      </c>
      <c r="L75" s="9"/>
      <c r="M75" s="9"/>
      <c r="N75" s="20" t="s">
        <v>77</v>
      </c>
      <c r="O75" s="20" t="s">
        <v>942</v>
      </c>
    </row>
    <row r="76" spans="1:15" ht="60" customHeight="1">
      <c r="A76" s="8" t="s">
        <v>1194</v>
      </c>
      <c r="B76" s="9" t="s">
        <v>1195</v>
      </c>
      <c r="C76" s="9" t="s">
        <v>945</v>
      </c>
      <c r="D76" s="9" t="s">
        <v>1196</v>
      </c>
      <c r="E76" s="9" t="s">
        <v>1197</v>
      </c>
      <c r="F76" s="8"/>
      <c r="G76" s="8" t="s">
        <v>143</v>
      </c>
      <c r="H76" s="8"/>
      <c r="I76" s="8" t="s">
        <v>422</v>
      </c>
      <c r="J76" s="8" t="s">
        <v>93</v>
      </c>
      <c r="K76" s="8" t="s">
        <v>69</v>
      </c>
      <c r="L76" s="9"/>
      <c r="M76" s="9"/>
      <c r="N76" s="20" t="s">
        <v>77</v>
      </c>
      <c r="O76" s="20" t="s">
        <v>942</v>
      </c>
    </row>
    <row r="77" spans="1:15" ht="20.100000000000001" customHeight="1">
      <c r="A77" s="25" t="s">
        <v>1198</v>
      </c>
      <c r="B77" s="28"/>
      <c r="C77" s="28"/>
      <c r="D77" s="28"/>
      <c r="E77" s="28"/>
      <c r="F77" s="28"/>
      <c r="G77" s="28"/>
      <c r="H77" s="28"/>
      <c r="I77" s="28"/>
      <c r="J77" s="28"/>
      <c r="K77" s="28"/>
      <c r="L77" s="28"/>
      <c r="M77" s="29"/>
    </row>
    <row r="78" spans="1:15" ht="60" customHeight="1">
      <c r="A78" s="8" t="s">
        <v>1199</v>
      </c>
      <c r="B78" s="9" t="s">
        <v>1200</v>
      </c>
      <c r="C78" s="9" t="s">
        <v>962</v>
      </c>
      <c r="D78" s="9" t="s">
        <v>1201</v>
      </c>
      <c r="E78" s="9" t="s">
        <v>1202</v>
      </c>
      <c r="F78" s="8"/>
      <c r="G78" s="8" t="s">
        <v>969</v>
      </c>
      <c r="H78" s="8" t="s">
        <v>660</v>
      </c>
      <c r="I78" s="8" t="s">
        <v>67</v>
      </c>
      <c r="J78" s="8" t="s">
        <v>85</v>
      </c>
      <c r="K78" s="8" t="s">
        <v>913</v>
      </c>
      <c r="L78" s="9"/>
      <c r="M78" s="9"/>
      <c r="N78" s="20" t="s">
        <v>77</v>
      </c>
      <c r="O78" s="20" t="s">
        <v>942</v>
      </c>
    </row>
    <row r="79" spans="1:15" ht="60" customHeight="1">
      <c r="A79" s="8" t="s">
        <v>1203</v>
      </c>
      <c r="B79" s="9" t="s">
        <v>1204</v>
      </c>
      <c r="C79" s="9" t="s">
        <v>962</v>
      </c>
      <c r="D79" s="9" t="s">
        <v>1205</v>
      </c>
      <c r="E79" s="9" t="s">
        <v>1206</v>
      </c>
      <c r="F79" s="8"/>
      <c r="G79" s="8" t="s">
        <v>143</v>
      </c>
      <c r="H79" s="8" t="s">
        <v>1207</v>
      </c>
      <c r="I79" s="8" t="s">
        <v>67</v>
      </c>
      <c r="J79" s="8" t="s">
        <v>85</v>
      </c>
      <c r="K79" s="8" t="s">
        <v>913</v>
      </c>
      <c r="L79" s="9"/>
      <c r="M79" s="9"/>
      <c r="N79" s="20" t="s">
        <v>77</v>
      </c>
      <c r="O79" s="20" t="s">
        <v>942</v>
      </c>
    </row>
    <row r="80" spans="1:15" ht="60" customHeight="1">
      <c r="A80" s="8" t="s">
        <v>1208</v>
      </c>
      <c r="B80" s="9" t="s">
        <v>1209</v>
      </c>
      <c r="C80" s="9" t="s">
        <v>1210</v>
      </c>
      <c r="D80" s="9" t="s">
        <v>1211</v>
      </c>
      <c r="E80" s="9" t="s">
        <v>1212</v>
      </c>
      <c r="F80" s="8"/>
      <c r="G80" s="8" t="s">
        <v>969</v>
      </c>
      <c r="H80" s="8" t="s">
        <v>660</v>
      </c>
      <c r="I80" s="8" t="s">
        <v>67</v>
      </c>
      <c r="J80" s="8" t="s">
        <v>85</v>
      </c>
      <c r="K80" s="8" t="s">
        <v>306</v>
      </c>
      <c r="L80" s="9"/>
      <c r="M80" s="9"/>
      <c r="N80" s="20" t="s">
        <v>77</v>
      </c>
      <c r="O80" s="20" t="s">
        <v>942</v>
      </c>
    </row>
    <row r="81" spans="1:15" ht="60" customHeight="1">
      <c r="A81" s="8" t="s">
        <v>1213</v>
      </c>
      <c r="B81" s="9" t="s">
        <v>1214</v>
      </c>
      <c r="C81" s="9" t="s">
        <v>962</v>
      </c>
      <c r="D81" s="9" t="s">
        <v>1215</v>
      </c>
      <c r="E81" s="9" t="s">
        <v>1216</v>
      </c>
      <c r="F81" s="8"/>
      <c r="G81" s="8" t="s">
        <v>143</v>
      </c>
      <c r="H81" s="8" t="s">
        <v>1207</v>
      </c>
      <c r="I81" s="8" t="s">
        <v>422</v>
      </c>
      <c r="J81" s="8" t="s">
        <v>85</v>
      </c>
      <c r="K81" s="8" t="s">
        <v>306</v>
      </c>
      <c r="L81" s="9"/>
      <c r="M81" s="9"/>
      <c r="N81" s="20" t="s">
        <v>77</v>
      </c>
      <c r="O81" s="20" t="s">
        <v>942</v>
      </c>
    </row>
    <row r="82" spans="1:15" ht="60" customHeight="1">
      <c r="A82" s="8" t="s">
        <v>1217</v>
      </c>
      <c r="B82" s="9" t="s">
        <v>1218</v>
      </c>
      <c r="C82" s="9" t="s">
        <v>962</v>
      </c>
      <c r="D82" s="9" t="s">
        <v>1219</v>
      </c>
      <c r="E82" s="9" t="s">
        <v>1220</v>
      </c>
      <c r="F82" s="8"/>
      <c r="G82" s="8" t="s">
        <v>969</v>
      </c>
      <c r="H82" s="8" t="s">
        <v>660</v>
      </c>
      <c r="I82" s="8" t="s">
        <v>92</v>
      </c>
      <c r="J82" s="8" t="s">
        <v>68</v>
      </c>
      <c r="K82" s="8" t="s">
        <v>913</v>
      </c>
      <c r="L82" s="9"/>
      <c r="M82" s="9"/>
      <c r="N82" s="20" t="s">
        <v>77</v>
      </c>
      <c r="O82" s="20" t="s">
        <v>942</v>
      </c>
    </row>
    <row r="83" spans="1:15" ht="60" customHeight="1">
      <c r="A83" s="8" t="s">
        <v>1221</v>
      </c>
      <c r="B83" s="9" t="s">
        <v>1222</v>
      </c>
      <c r="C83" s="9" t="s">
        <v>962</v>
      </c>
      <c r="D83" s="9" t="s">
        <v>1223</v>
      </c>
      <c r="E83" s="9" t="s">
        <v>1224</v>
      </c>
      <c r="F83" s="8"/>
      <c r="G83" s="8" t="s">
        <v>969</v>
      </c>
      <c r="H83" s="8" t="s">
        <v>660</v>
      </c>
      <c r="I83" s="8" t="s">
        <v>92</v>
      </c>
      <c r="J83" s="8" t="s">
        <v>68</v>
      </c>
      <c r="K83" s="8" t="s">
        <v>913</v>
      </c>
      <c r="L83" s="9"/>
      <c r="M83" s="9"/>
      <c r="N83" s="20" t="s">
        <v>77</v>
      </c>
      <c r="O83" s="20" t="s">
        <v>942</v>
      </c>
    </row>
    <row r="84" spans="1:15" ht="60" customHeight="1">
      <c r="A84" s="8" t="s">
        <v>1225</v>
      </c>
      <c r="B84" s="9" t="s">
        <v>1226</v>
      </c>
      <c r="C84" s="9" t="s">
        <v>962</v>
      </c>
      <c r="D84" s="9" t="s">
        <v>1227</v>
      </c>
      <c r="E84" s="9" t="s">
        <v>1228</v>
      </c>
      <c r="F84" s="8"/>
      <c r="G84" s="8" t="s">
        <v>143</v>
      </c>
      <c r="H84" s="8" t="s">
        <v>1207</v>
      </c>
      <c r="I84" s="8" t="s">
        <v>422</v>
      </c>
      <c r="J84" s="8" t="s">
        <v>68</v>
      </c>
      <c r="K84" s="8" t="s">
        <v>306</v>
      </c>
      <c r="L84" s="9"/>
      <c r="M84" s="9"/>
      <c r="N84" s="20" t="s">
        <v>77</v>
      </c>
      <c r="O84" s="20" t="s">
        <v>942</v>
      </c>
    </row>
    <row r="85" spans="1:15" ht="60" customHeight="1">
      <c r="A85" s="8" t="s">
        <v>1229</v>
      </c>
      <c r="B85" s="9" t="s">
        <v>1230</v>
      </c>
      <c r="C85" s="9" t="s">
        <v>1231</v>
      </c>
      <c r="D85" s="9" t="s">
        <v>1232</v>
      </c>
      <c r="E85" s="9" t="s">
        <v>1233</v>
      </c>
      <c r="F85" s="8"/>
      <c r="G85" s="8" t="s">
        <v>143</v>
      </c>
      <c r="H85" s="8" t="s">
        <v>1207</v>
      </c>
      <c r="I85" s="8" t="s">
        <v>422</v>
      </c>
      <c r="J85" s="8" t="s">
        <v>68</v>
      </c>
      <c r="K85" s="8" t="s">
        <v>306</v>
      </c>
      <c r="L85" s="9"/>
      <c r="M85" s="9"/>
      <c r="N85" s="20" t="s">
        <v>77</v>
      </c>
      <c r="O85" s="20" t="s">
        <v>942</v>
      </c>
    </row>
    <row r="86" spans="1:15" ht="60" customHeight="1">
      <c r="A86" s="8" t="s">
        <v>1234</v>
      </c>
      <c r="B86" s="9" t="s">
        <v>1235</v>
      </c>
      <c r="C86" s="9" t="s">
        <v>962</v>
      </c>
      <c r="D86" s="9" t="s">
        <v>1236</v>
      </c>
      <c r="E86" s="9" t="s">
        <v>1237</v>
      </c>
      <c r="F86" s="8"/>
      <c r="G86" s="8" t="s">
        <v>969</v>
      </c>
      <c r="H86" s="8" t="s">
        <v>660</v>
      </c>
      <c r="I86" s="8" t="s">
        <v>92</v>
      </c>
      <c r="J86" s="8" t="s">
        <v>85</v>
      </c>
      <c r="K86" s="8" t="s">
        <v>913</v>
      </c>
      <c r="L86" s="9"/>
      <c r="M86" s="9"/>
      <c r="N86" s="20" t="s">
        <v>77</v>
      </c>
      <c r="O86" s="20" t="s">
        <v>942</v>
      </c>
    </row>
    <row r="87" spans="1:15" ht="60" customHeight="1">
      <c r="A87" s="8" t="s">
        <v>1238</v>
      </c>
      <c r="B87" s="9" t="s">
        <v>1239</v>
      </c>
      <c r="C87" s="9" t="s">
        <v>962</v>
      </c>
      <c r="D87" s="9" t="s">
        <v>1240</v>
      </c>
      <c r="E87" s="9" t="s">
        <v>1241</v>
      </c>
      <c r="F87" s="8"/>
      <c r="G87" s="8" t="s">
        <v>969</v>
      </c>
      <c r="H87" s="8" t="s">
        <v>660</v>
      </c>
      <c r="I87" s="8" t="s">
        <v>92</v>
      </c>
      <c r="J87" s="8" t="s">
        <v>68</v>
      </c>
      <c r="K87" s="8" t="s">
        <v>306</v>
      </c>
      <c r="L87" s="9"/>
      <c r="M87" s="9"/>
      <c r="N87" s="20" t="s">
        <v>77</v>
      </c>
      <c r="O87" s="20" t="s">
        <v>942</v>
      </c>
    </row>
    <row r="88" spans="1:15" ht="60" customHeight="1">
      <c r="A88" s="8" t="s">
        <v>1242</v>
      </c>
      <c r="B88" s="9" t="s">
        <v>1243</v>
      </c>
      <c r="C88" s="9" t="s">
        <v>1166</v>
      </c>
      <c r="D88" s="9" t="s">
        <v>1244</v>
      </c>
      <c r="E88" s="9" t="s">
        <v>1245</v>
      </c>
      <c r="F88" s="8"/>
      <c r="G88" s="8" t="s">
        <v>143</v>
      </c>
      <c r="H88" s="8" t="s">
        <v>1207</v>
      </c>
      <c r="I88" s="8" t="s">
        <v>422</v>
      </c>
      <c r="J88" s="8" t="s">
        <v>85</v>
      </c>
      <c r="K88" s="8" t="s">
        <v>69</v>
      </c>
      <c r="L88" s="9"/>
      <c r="M88" s="9"/>
      <c r="N88" s="20" t="s">
        <v>77</v>
      </c>
      <c r="O88" s="20" t="s">
        <v>942</v>
      </c>
    </row>
    <row r="89" spans="1:15" ht="60" customHeight="1">
      <c r="A89" s="8" t="s">
        <v>1246</v>
      </c>
      <c r="B89" s="9" t="s">
        <v>1247</v>
      </c>
      <c r="C89" s="9" t="s">
        <v>1248</v>
      </c>
      <c r="D89" s="9" t="s">
        <v>1249</v>
      </c>
      <c r="E89" s="9" t="s">
        <v>1250</v>
      </c>
      <c r="F89" s="8"/>
      <c r="G89" s="8" t="s">
        <v>969</v>
      </c>
      <c r="H89" s="8" t="s">
        <v>660</v>
      </c>
      <c r="I89" s="8" t="s">
        <v>67</v>
      </c>
      <c r="J89" s="8" t="s">
        <v>85</v>
      </c>
      <c r="K89" s="8" t="s">
        <v>913</v>
      </c>
      <c r="L89" s="9"/>
      <c r="M89" s="9"/>
      <c r="N89" s="20" t="s">
        <v>77</v>
      </c>
      <c r="O89" s="20" t="s">
        <v>942</v>
      </c>
    </row>
    <row r="90" spans="1:15" ht="60" customHeight="1">
      <c r="A90" s="8" t="s">
        <v>1251</v>
      </c>
      <c r="B90" s="9" t="s">
        <v>1252</v>
      </c>
      <c r="C90" s="9" t="s">
        <v>962</v>
      </c>
      <c r="D90" s="9" t="s">
        <v>1253</v>
      </c>
      <c r="E90" s="9" t="s">
        <v>1254</v>
      </c>
      <c r="F90" s="8"/>
      <c r="G90" s="8" t="s">
        <v>143</v>
      </c>
      <c r="H90" s="8" t="s">
        <v>1207</v>
      </c>
      <c r="I90" s="8" t="s">
        <v>92</v>
      </c>
      <c r="J90" s="8" t="s">
        <v>85</v>
      </c>
      <c r="K90" s="8" t="s">
        <v>913</v>
      </c>
      <c r="L90" s="9"/>
      <c r="M90" s="9"/>
      <c r="N90" s="20" t="s">
        <v>77</v>
      </c>
      <c r="O90" s="20" t="s">
        <v>942</v>
      </c>
    </row>
    <row r="91" spans="1:15" ht="60" customHeight="1">
      <c r="A91" s="8" t="s">
        <v>1255</v>
      </c>
      <c r="B91" s="9" t="s">
        <v>1256</v>
      </c>
      <c r="C91" s="9" t="s">
        <v>962</v>
      </c>
      <c r="D91" s="9" t="s">
        <v>1257</v>
      </c>
      <c r="E91" s="9" t="s">
        <v>1258</v>
      </c>
      <c r="F91" s="8"/>
      <c r="G91" s="8" t="s">
        <v>969</v>
      </c>
      <c r="H91" s="8" t="s">
        <v>660</v>
      </c>
      <c r="I91" s="8" t="s">
        <v>92</v>
      </c>
      <c r="J91" s="8" t="s">
        <v>68</v>
      </c>
      <c r="K91" s="8" t="s">
        <v>913</v>
      </c>
      <c r="L91" s="9"/>
      <c r="M91" s="9"/>
      <c r="N91" s="20" t="s">
        <v>77</v>
      </c>
      <c r="O91" s="20" t="s">
        <v>942</v>
      </c>
    </row>
    <row r="92" spans="1:15" ht="60" customHeight="1">
      <c r="A92" s="8" t="s">
        <v>1259</v>
      </c>
      <c r="B92" s="9" t="s">
        <v>1260</v>
      </c>
      <c r="C92" s="9" t="s">
        <v>1261</v>
      </c>
      <c r="D92" s="9" t="s">
        <v>1262</v>
      </c>
      <c r="E92" s="9" t="s">
        <v>1263</v>
      </c>
      <c r="F92" s="8"/>
      <c r="G92" s="8" t="s">
        <v>143</v>
      </c>
      <c r="H92" s="8" t="s">
        <v>1207</v>
      </c>
      <c r="I92" s="8" t="s">
        <v>422</v>
      </c>
      <c r="J92" s="8" t="s">
        <v>85</v>
      </c>
      <c r="K92" s="8" t="s">
        <v>306</v>
      </c>
      <c r="L92" s="9"/>
      <c r="M92" s="9"/>
      <c r="N92" s="20" t="s">
        <v>77</v>
      </c>
      <c r="O92" s="20" t="s">
        <v>942</v>
      </c>
    </row>
    <row r="93" spans="1:15" ht="60" customHeight="1">
      <c r="A93" s="8" t="s">
        <v>1264</v>
      </c>
      <c r="B93" s="9" t="s">
        <v>1265</v>
      </c>
      <c r="C93" s="9" t="s">
        <v>945</v>
      </c>
      <c r="D93" s="9" t="s">
        <v>945</v>
      </c>
      <c r="E93" s="9" t="s">
        <v>945</v>
      </c>
      <c r="F93" s="8"/>
      <c r="G93" s="8" t="s">
        <v>143</v>
      </c>
      <c r="H93" s="8" t="s">
        <v>1207</v>
      </c>
      <c r="I93" s="8" t="s">
        <v>422</v>
      </c>
      <c r="J93" s="8" t="s">
        <v>93</v>
      </c>
      <c r="K93" s="8" t="s">
        <v>69</v>
      </c>
      <c r="L93" s="9"/>
      <c r="M93" s="9"/>
      <c r="N93" s="20" t="s">
        <v>77</v>
      </c>
      <c r="O93" s="20" t="s">
        <v>942</v>
      </c>
    </row>
    <row r="94" spans="1:15" ht="60" customHeight="1">
      <c r="A94" s="8" t="s">
        <v>1266</v>
      </c>
      <c r="B94" s="9" t="s">
        <v>1267</v>
      </c>
      <c r="C94" s="9" t="s">
        <v>945</v>
      </c>
      <c r="D94" s="9" t="s">
        <v>945</v>
      </c>
      <c r="E94" s="9" t="s">
        <v>945</v>
      </c>
      <c r="F94" s="8"/>
      <c r="G94" s="8" t="s">
        <v>143</v>
      </c>
      <c r="H94" s="8" t="s">
        <v>1207</v>
      </c>
      <c r="I94" s="8" t="s">
        <v>422</v>
      </c>
      <c r="J94" s="8" t="s">
        <v>85</v>
      </c>
      <c r="K94" s="8" t="s">
        <v>69</v>
      </c>
      <c r="L94" s="9"/>
      <c r="M94" s="9"/>
      <c r="N94" s="20" t="s">
        <v>77</v>
      </c>
      <c r="O94" s="20" t="s">
        <v>942</v>
      </c>
    </row>
    <row r="95" spans="1:15" ht="60" customHeight="1">
      <c r="A95" s="8" t="s">
        <v>1268</v>
      </c>
      <c r="B95" s="9" t="s">
        <v>1269</v>
      </c>
      <c r="C95" s="9" t="s">
        <v>945</v>
      </c>
      <c r="D95" s="9" t="s">
        <v>945</v>
      </c>
      <c r="E95" s="9" t="s">
        <v>945</v>
      </c>
      <c r="F95" s="8"/>
      <c r="G95" s="8" t="s">
        <v>143</v>
      </c>
      <c r="H95" s="8" t="s">
        <v>1207</v>
      </c>
      <c r="I95" s="8" t="s">
        <v>422</v>
      </c>
      <c r="J95" s="8" t="s">
        <v>1153</v>
      </c>
      <c r="K95" s="8" t="s">
        <v>69</v>
      </c>
      <c r="L95" s="9"/>
      <c r="M95" s="9"/>
      <c r="N95" s="20" t="s">
        <v>77</v>
      </c>
      <c r="O95" s="20" t="s">
        <v>942</v>
      </c>
    </row>
    <row r="96" spans="1:15" ht="60" customHeight="1">
      <c r="A96" s="8" t="s">
        <v>1270</v>
      </c>
      <c r="B96" s="9" t="s">
        <v>1271</v>
      </c>
      <c r="C96" s="9" t="s">
        <v>1272</v>
      </c>
      <c r="D96" s="9" t="s">
        <v>1273</v>
      </c>
      <c r="E96" s="9" t="s">
        <v>1274</v>
      </c>
      <c r="F96" s="8"/>
      <c r="G96" s="8" t="s">
        <v>1275</v>
      </c>
      <c r="H96" s="8"/>
      <c r="I96" s="8" t="s">
        <v>67</v>
      </c>
      <c r="J96" s="8" t="s">
        <v>85</v>
      </c>
      <c r="K96" s="8" t="s">
        <v>306</v>
      </c>
      <c r="L96" s="9"/>
      <c r="M96" s="9"/>
      <c r="N96" s="20" t="s">
        <v>77</v>
      </c>
      <c r="O96" s="20" t="s">
        <v>942</v>
      </c>
    </row>
    <row r="97" spans="1:15" ht="20.100000000000001" customHeight="1">
      <c r="A97" s="25" t="s">
        <v>1276</v>
      </c>
      <c r="B97" s="28"/>
      <c r="C97" s="28"/>
      <c r="D97" s="28"/>
      <c r="E97" s="28"/>
      <c r="F97" s="28"/>
      <c r="G97" s="28"/>
      <c r="H97" s="28"/>
      <c r="I97" s="28"/>
      <c r="J97" s="28"/>
      <c r="K97" s="28"/>
      <c r="L97" s="28"/>
      <c r="M97" s="29"/>
    </row>
    <row r="98" spans="1:15" ht="60" customHeight="1">
      <c r="A98" s="8" t="s">
        <v>1277</v>
      </c>
      <c r="B98" s="9" t="s">
        <v>1278</v>
      </c>
      <c r="C98" s="9" t="s">
        <v>1279</v>
      </c>
      <c r="D98" s="9" t="s">
        <v>1280</v>
      </c>
      <c r="E98" s="9" t="s">
        <v>1281</v>
      </c>
      <c r="F98" s="8"/>
      <c r="G98" s="8" t="s">
        <v>969</v>
      </c>
      <c r="H98" s="8" t="s">
        <v>660</v>
      </c>
      <c r="I98" s="8" t="s">
        <v>67</v>
      </c>
      <c r="J98" s="8" t="s">
        <v>85</v>
      </c>
      <c r="K98" s="8" t="s">
        <v>913</v>
      </c>
      <c r="L98" s="9"/>
      <c r="M98" s="9"/>
      <c r="N98" s="20" t="s">
        <v>77</v>
      </c>
      <c r="O98" s="20" t="s">
        <v>942</v>
      </c>
    </row>
    <row r="99" spans="1:15" ht="60" customHeight="1">
      <c r="A99" s="8" t="s">
        <v>1282</v>
      </c>
      <c r="B99" s="9" t="s">
        <v>1283</v>
      </c>
      <c r="C99" s="9" t="s">
        <v>1284</v>
      </c>
      <c r="D99" s="9" t="s">
        <v>1285</v>
      </c>
      <c r="E99" s="9" t="s">
        <v>1281</v>
      </c>
      <c r="F99" s="8"/>
      <c r="G99" s="8" t="s">
        <v>969</v>
      </c>
      <c r="H99" s="8" t="s">
        <v>660</v>
      </c>
      <c r="I99" s="8" t="s">
        <v>67</v>
      </c>
      <c r="J99" s="8" t="s">
        <v>85</v>
      </c>
      <c r="K99" s="8" t="s">
        <v>306</v>
      </c>
      <c r="L99" s="9"/>
      <c r="M99" s="9"/>
      <c r="N99" s="20" t="s">
        <v>77</v>
      </c>
      <c r="O99" s="20" t="s">
        <v>942</v>
      </c>
    </row>
    <row r="100" spans="1:15" ht="60" customHeight="1">
      <c r="A100" s="8" t="s">
        <v>1286</v>
      </c>
      <c r="B100" s="9" t="s">
        <v>1287</v>
      </c>
      <c r="C100" s="9" t="s">
        <v>1288</v>
      </c>
      <c r="D100" s="9" t="s">
        <v>1289</v>
      </c>
      <c r="E100" s="9" t="s">
        <v>1281</v>
      </c>
      <c r="F100" s="8"/>
      <c r="G100" s="8" t="s">
        <v>969</v>
      </c>
      <c r="H100" s="8" t="s">
        <v>660</v>
      </c>
      <c r="I100" s="8" t="s">
        <v>67</v>
      </c>
      <c r="J100" s="8" t="s">
        <v>85</v>
      </c>
      <c r="K100" s="8" t="s">
        <v>306</v>
      </c>
      <c r="L100" s="9"/>
      <c r="M100" s="9"/>
      <c r="N100" s="20" t="s">
        <v>77</v>
      </c>
      <c r="O100" s="20" t="s">
        <v>942</v>
      </c>
    </row>
    <row r="101" spans="1:15" ht="60" customHeight="1">
      <c r="A101" s="8" t="s">
        <v>1290</v>
      </c>
      <c r="B101" s="9" t="s">
        <v>1291</v>
      </c>
      <c r="C101" s="9" t="s">
        <v>1292</v>
      </c>
      <c r="D101" s="9" t="s">
        <v>1293</v>
      </c>
      <c r="E101" s="9" t="s">
        <v>1281</v>
      </c>
      <c r="F101" s="8"/>
      <c r="G101" s="8" t="s">
        <v>969</v>
      </c>
      <c r="H101" s="8" t="s">
        <v>660</v>
      </c>
      <c r="I101" s="8" t="s">
        <v>67</v>
      </c>
      <c r="J101" s="8" t="s">
        <v>85</v>
      </c>
      <c r="K101" s="8" t="s">
        <v>306</v>
      </c>
      <c r="L101" s="9"/>
      <c r="M101" s="9"/>
      <c r="N101" s="20" t="s">
        <v>77</v>
      </c>
      <c r="O101" s="20" t="s">
        <v>942</v>
      </c>
    </row>
    <row r="102" spans="1:15" ht="60" customHeight="1">
      <c r="A102" s="8" t="s">
        <v>1294</v>
      </c>
      <c r="B102" s="9" t="s">
        <v>1295</v>
      </c>
      <c r="C102" s="9" t="s">
        <v>1292</v>
      </c>
      <c r="D102" s="9" t="s">
        <v>1296</v>
      </c>
      <c r="E102" s="9" t="s">
        <v>1281</v>
      </c>
      <c r="F102" s="8"/>
      <c r="G102" s="8" t="s">
        <v>969</v>
      </c>
      <c r="H102" s="8" t="s">
        <v>660</v>
      </c>
      <c r="I102" s="8" t="s">
        <v>67</v>
      </c>
      <c r="J102" s="8" t="s">
        <v>85</v>
      </c>
      <c r="K102" s="8" t="s">
        <v>306</v>
      </c>
      <c r="L102" s="9"/>
      <c r="M102" s="9"/>
      <c r="N102" s="20" t="s">
        <v>77</v>
      </c>
      <c r="O102" s="20" t="s">
        <v>942</v>
      </c>
    </row>
    <row r="103" spans="1:15" ht="60" customHeight="1">
      <c r="A103" s="8" t="s">
        <v>1297</v>
      </c>
      <c r="B103" s="9" t="s">
        <v>1298</v>
      </c>
      <c r="C103" s="9" t="s">
        <v>1292</v>
      </c>
      <c r="D103" s="9" t="s">
        <v>1299</v>
      </c>
      <c r="E103" s="9" t="s">
        <v>1281</v>
      </c>
      <c r="F103" s="8"/>
      <c r="G103" s="8" t="s">
        <v>969</v>
      </c>
      <c r="H103" s="8" t="s">
        <v>660</v>
      </c>
      <c r="I103" s="8" t="s">
        <v>67</v>
      </c>
      <c r="J103" s="8" t="s">
        <v>85</v>
      </c>
      <c r="K103" s="8" t="s">
        <v>306</v>
      </c>
      <c r="L103" s="9"/>
      <c r="M103" s="9"/>
      <c r="N103" s="20" t="s">
        <v>77</v>
      </c>
      <c r="O103" s="20" t="s">
        <v>942</v>
      </c>
    </row>
    <row r="104" spans="1:15" ht="60" customHeight="1">
      <c r="A104" s="8" t="s">
        <v>1300</v>
      </c>
      <c r="B104" s="9" t="s">
        <v>1301</v>
      </c>
      <c r="C104" s="9" t="s">
        <v>1292</v>
      </c>
      <c r="D104" s="9" t="s">
        <v>1302</v>
      </c>
      <c r="E104" s="9" t="s">
        <v>1281</v>
      </c>
      <c r="F104" s="8"/>
      <c r="G104" s="8" t="s">
        <v>969</v>
      </c>
      <c r="H104" s="8" t="s">
        <v>660</v>
      </c>
      <c r="I104" s="8" t="s">
        <v>67</v>
      </c>
      <c r="J104" s="8" t="s">
        <v>85</v>
      </c>
      <c r="K104" s="8" t="s">
        <v>306</v>
      </c>
      <c r="L104" s="9"/>
      <c r="M104" s="9"/>
      <c r="N104" s="20" t="s">
        <v>77</v>
      </c>
      <c r="O104" s="20" t="s">
        <v>942</v>
      </c>
    </row>
    <row r="105" spans="1:15" ht="60" customHeight="1">
      <c r="A105" s="8" t="s">
        <v>1303</v>
      </c>
      <c r="B105" s="9" t="s">
        <v>1304</v>
      </c>
      <c r="C105" s="9" t="s">
        <v>1292</v>
      </c>
      <c r="D105" s="9" t="s">
        <v>1305</v>
      </c>
      <c r="E105" s="9" t="s">
        <v>1281</v>
      </c>
      <c r="F105" s="8"/>
      <c r="G105" s="8" t="s">
        <v>969</v>
      </c>
      <c r="H105" s="8" t="s">
        <v>660</v>
      </c>
      <c r="I105" s="8" t="s">
        <v>67</v>
      </c>
      <c r="J105" s="8" t="s">
        <v>85</v>
      </c>
      <c r="K105" s="8" t="s">
        <v>306</v>
      </c>
      <c r="L105" s="9"/>
      <c r="M105" s="9"/>
      <c r="N105" s="20" t="s">
        <v>77</v>
      </c>
      <c r="O105" s="20" t="s">
        <v>942</v>
      </c>
    </row>
    <row r="106" spans="1:15" ht="60" customHeight="1">
      <c r="A106" s="8" t="s">
        <v>1306</v>
      </c>
      <c r="B106" s="9" t="s">
        <v>1307</v>
      </c>
      <c r="C106" s="9" t="s">
        <v>1292</v>
      </c>
      <c r="D106" s="9" t="s">
        <v>1308</v>
      </c>
      <c r="E106" s="9" t="s">
        <v>1281</v>
      </c>
      <c r="F106" s="8"/>
      <c r="G106" s="8" t="s">
        <v>969</v>
      </c>
      <c r="H106" s="8" t="s">
        <v>660</v>
      </c>
      <c r="I106" s="8" t="s">
        <v>67</v>
      </c>
      <c r="J106" s="8" t="s">
        <v>85</v>
      </c>
      <c r="K106" s="8" t="s">
        <v>306</v>
      </c>
      <c r="L106" s="9"/>
      <c r="M106" s="9"/>
      <c r="N106" s="20" t="s">
        <v>77</v>
      </c>
      <c r="O106" s="20" t="s">
        <v>942</v>
      </c>
    </row>
    <row r="107" spans="1:15" ht="60" customHeight="1">
      <c r="A107" s="8" t="s">
        <v>1309</v>
      </c>
      <c r="B107" s="9" t="s">
        <v>1310</v>
      </c>
      <c r="C107" s="9" t="s">
        <v>1292</v>
      </c>
      <c r="D107" s="9" t="s">
        <v>1311</v>
      </c>
      <c r="E107" s="9" t="s">
        <v>1281</v>
      </c>
      <c r="F107" s="8"/>
      <c r="G107" s="8" t="s">
        <v>969</v>
      </c>
      <c r="H107" s="8" t="s">
        <v>660</v>
      </c>
      <c r="I107" s="8" t="s">
        <v>67</v>
      </c>
      <c r="J107" s="8" t="s">
        <v>85</v>
      </c>
      <c r="K107" s="8" t="s">
        <v>913</v>
      </c>
      <c r="L107" s="9"/>
      <c r="M107" s="9"/>
      <c r="N107" s="20" t="s">
        <v>77</v>
      </c>
      <c r="O107" s="20" t="s">
        <v>942</v>
      </c>
    </row>
    <row r="108" spans="1:15" ht="60" customHeight="1">
      <c r="A108" s="8" t="s">
        <v>1312</v>
      </c>
      <c r="B108" s="9" t="s">
        <v>1313</v>
      </c>
      <c r="C108" s="9" t="s">
        <v>1292</v>
      </c>
      <c r="D108" s="9" t="s">
        <v>1314</v>
      </c>
      <c r="E108" s="9" t="s">
        <v>1281</v>
      </c>
      <c r="F108" s="8"/>
      <c r="G108" s="8" t="s">
        <v>969</v>
      </c>
      <c r="H108" s="8" t="s">
        <v>660</v>
      </c>
      <c r="I108" s="8" t="s">
        <v>67</v>
      </c>
      <c r="J108" s="8" t="s">
        <v>85</v>
      </c>
      <c r="K108" s="8" t="s">
        <v>306</v>
      </c>
      <c r="L108" s="9"/>
      <c r="M108" s="9"/>
      <c r="N108" s="20" t="s">
        <v>77</v>
      </c>
      <c r="O108" s="20" t="s">
        <v>942</v>
      </c>
    </row>
    <row r="109" spans="1:15" ht="60" customHeight="1">
      <c r="A109" s="8" t="s">
        <v>1315</v>
      </c>
      <c r="B109" s="9" t="s">
        <v>1316</v>
      </c>
      <c r="C109" s="9" t="s">
        <v>1292</v>
      </c>
      <c r="D109" s="9" t="s">
        <v>1317</v>
      </c>
      <c r="E109" s="9" t="s">
        <v>1281</v>
      </c>
      <c r="F109" s="8"/>
      <c r="G109" s="8" t="s">
        <v>969</v>
      </c>
      <c r="H109" s="8" t="s">
        <v>660</v>
      </c>
      <c r="I109" s="8" t="s">
        <v>67</v>
      </c>
      <c r="J109" s="8" t="s">
        <v>85</v>
      </c>
      <c r="K109" s="8" t="s">
        <v>306</v>
      </c>
      <c r="L109" s="9"/>
      <c r="M109" s="9"/>
      <c r="N109" s="20" t="s">
        <v>77</v>
      </c>
      <c r="O109" s="20" t="s">
        <v>942</v>
      </c>
    </row>
    <row r="110" spans="1:15" ht="60" customHeight="1">
      <c r="A110" s="8" t="s">
        <v>1318</v>
      </c>
      <c r="B110" s="9" t="s">
        <v>1319</v>
      </c>
      <c r="C110" s="9" t="s">
        <v>1292</v>
      </c>
      <c r="D110" s="9" t="s">
        <v>1320</v>
      </c>
      <c r="E110" s="9" t="s">
        <v>1281</v>
      </c>
      <c r="F110" s="8"/>
      <c r="G110" s="8" t="s">
        <v>969</v>
      </c>
      <c r="H110" s="8" t="s">
        <v>660</v>
      </c>
      <c r="I110" s="8" t="s">
        <v>67</v>
      </c>
      <c r="J110" s="8" t="s">
        <v>85</v>
      </c>
      <c r="K110" s="8" t="s">
        <v>913</v>
      </c>
      <c r="L110" s="9"/>
      <c r="M110" s="9"/>
      <c r="N110" s="20" t="s">
        <v>77</v>
      </c>
      <c r="O110" s="20" t="s">
        <v>942</v>
      </c>
    </row>
    <row r="111" spans="1:15" ht="60" customHeight="1">
      <c r="A111" s="8" t="s">
        <v>1321</v>
      </c>
      <c r="B111" s="9" t="s">
        <v>1322</v>
      </c>
      <c r="C111" s="9" t="s">
        <v>1292</v>
      </c>
      <c r="D111" s="9" t="s">
        <v>1323</v>
      </c>
      <c r="E111" s="9" t="s">
        <v>1281</v>
      </c>
      <c r="F111" s="8"/>
      <c r="G111" s="8" t="s">
        <v>969</v>
      </c>
      <c r="H111" s="8" t="s">
        <v>660</v>
      </c>
      <c r="I111" s="8" t="s">
        <v>67</v>
      </c>
      <c r="J111" s="8" t="s">
        <v>85</v>
      </c>
      <c r="K111" s="8" t="s">
        <v>306</v>
      </c>
      <c r="L111" s="9"/>
      <c r="M111" s="9"/>
      <c r="N111" s="20" t="s">
        <v>77</v>
      </c>
      <c r="O111" s="20" t="s">
        <v>942</v>
      </c>
    </row>
    <row r="112" spans="1:15" ht="60" customHeight="1">
      <c r="A112" s="8" t="s">
        <v>1324</v>
      </c>
      <c r="B112" s="9" t="s">
        <v>1325</v>
      </c>
      <c r="C112" s="9" t="s">
        <v>1292</v>
      </c>
      <c r="D112" s="9" t="s">
        <v>1326</v>
      </c>
      <c r="E112" s="9" t="s">
        <v>1281</v>
      </c>
      <c r="F112" s="8"/>
      <c r="G112" s="8" t="s">
        <v>969</v>
      </c>
      <c r="H112" s="8" t="s">
        <v>660</v>
      </c>
      <c r="I112" s="8" t="s">
        <v>67</v>
      </c>
      <c r="J112" s="8" t="s">
        <v>85</v>
      </c>
      <c r="K112" s="8" t="s">
        <v>913</v>
      </c>
      <c r="L112" s="9"/>
      <c r="M112" s="9"/>
      <c r="N112" s="20" t="s">
        <v>77</v>
      </c>
      <c r="O112" s="20" t="s">
        <v>942</v>
      </c>
    </row>
    <row r="113" spans="1:15" ht="60" customHeight="1">
      <c r="A113" s="8" t="s">
        <v>1327</v>
      </c>
      <c r="B113" s="9" t="s">
        <v>1328</v>
      </c>
      <c r="C113" s="9" t="s">
        <v>1292</v>
      </c>
      <c r="D113" s="9" t="s">
        <v>1329</v>
      </c>
      <c r="E113" s="9" t="s">
        <v>1330</v>
      </c>
      <c r="F113" s="8"/>
      <c r="G113" s="8" t="s">
        <v>969</v>
      </c>
      <c r="H113" s="8" t="s">
        <v>660</v>
      </c>
      <c r="I113" s="8" t="s">
        <v>67</v>
      </c>
      <c r="J113" s="8" t="s">
        <v>85</v>
      </c>
      <c r="K113" s="8" t="s">
        <v>913</v>
      </c>
      <c r="L113" s="9"/>
      <c r="M113" s="9"/>
      <c r="N113" s="20" t="s">
        <v>77</v>
      </c>
      <c r="O113" s="20" t="s">
        <v>942</v>
      </c>
    </row>
    <row r="114" spans="1:15" ht="60" customHeight="1">
      <c r="A114" s="8" t="s">
        <v>1331</v>
      </c>
      <c r="B114" s="9" t="s">
        <v>1332</v>
      </c>
      <c r="C114" s="9" t="s">
        <v>1292</v>
      </c>
      <c r="D114" s="9" t="s">
        <v>1333</v>
      </c>
      <c r="E114" s="9" t="s">
        <v>1330</v>
      </c>
      <c r="F114" s="8"/>
      <c r="G114" s="8" t="s">
        <v>969</v>
      </c>
      <c r="H114" s="8" t="s">
        <v>660</v>
      </c>
      <c r="I114" s="8" t="s">
        <v>67</v>
      </c>
      <c r="J114" s="8" t="s">
        <v>85</v>
      </c>
      <c r="K114" s="8" t="s">
        <v>913</v>
      </c>
      <c r="L114" s="9"/>
      <c r="M114" s="9"/>
      <c r="N114" s="20" t="s">
        <v>77</v>
      </c>
      <c r="O114" s="20" t="s">
        <v>942</v>
      </c>
    </row>
    <row r="115" spans="1:15" ht="60" customHeight="1">
      <c r="A115" s="8" t="s">
        <v>1334</v>
      </c>
      <c r="B115" s="9" t="s">
        <v>1335</v>
      </c>
      <c r="C115" s="9" t="s">
        <v>962</v>
      </c>
      <c r="D115" s="9" t="s">
        <v>1336</v>
      </c>
      <c r="E115" s="9" t="s">
        <v>1337</v>
      </c>
      <c r="F115" s="8"/>
      <c r="G115" s="8" t="s">
        <v>969</v>
      </c>
      <c r="H115" s="8" t="s">
        <v>660</v>
      </c>
      <c r="I115" s="8" t="s">
        <v>422</v>
      </c>
      <c r="J115" s="8" t="s">
        <v>85</v>
      </c>
      <c r="K115" s="8" t="s">
        <v>69</v>
      </c>
      <c r="L115" s="9"/>
      <c r="M115" s="9"/>
      <c r="N115" s="20" t="s">
        <v>77</v>
      </c>
      <c r="O115" s="20" t="s">
        <v>942</v>
      </c>
    </row>
    <row r="116" spans="1:15" ht="60" customHeight="1">
      <c r="A116" s="8" t="s">
        <v>1338</v>
      </c>
      <c r="B116" s="9" t="s">
        <v>1339</v>
      </c>
      <c r="C116" s="9" t="s">
        <v>962</v>
      </c>
      <c r="D116" s="9" t="s">
        <v>1340</v>
      </c>
      <c r="E116" s="9" t="s">
        <v>1341</v>
      </c>
      <c r="F116" s="8"/>
      <c r="G116" s="8" t="s">
        <v>969</v>
      </c>
      <c r="H116" s="8" t="s">
        <v>660</v>
      </c>
      <c r="I116" s="8" t="s">
        <v>422</v>
      </c>
      <c r="J116" s="8" t="s">
        <v>85</v>
      </c>
      <c r="K116" s="8" t="s">
        <v>69</v>
      </c>
      <c r="L116" s="9"/>
      <c r="M116" s="9"/>
      <c r="N116" s="20" t="s">
        <v>77</v>
      </c>
      <c r="O116" s="20" t="s">
        <v>942</v>
      </c>
    </row>
    <row r="117" spans="1:15" ht="60" customHeight="1">
      <c r="A117" s="8" t="s">
        <v>1342</v>
      </c>
      <c r="B117" s="9" t="s">
        <v>1343</v>
      </c>
      <c r="C117" s="9" t="s">
        <v>962</v>
      </c>
      <c r="D117" s="9" t="s">
        <v>1344</v>
      </c>
      <c r="E117" s="9" t="s">
        <v>1345</v>
      </c>
      <c r="F117" s="8"/>
      <c r="G117" s="8" t="s">
        <v>969</v>
      </c>
      <c r="H117" s="8" t="s">
        <v>660</v>
      </c>
      <c r="I117" s="8" t="s">
        <v>422</v>
      </c>
      <c r="J117" s="8" t="s">
        <v>85</v>
      </c>
      <c r="K117" s="8" t="s">
        <v>69</v>
      </c>
      <c r="L117" s="9"/>
      <c r="M117" s="9"/>
      <c r="N117" s="20" t="s">
        <v>77</v>
      </c>
      <c r="O117" s="20" t="s">
        <v>942</v>
      </c>
    </row>
    <row r="118" spans="1:15" ht="60" customHeight="1">
      <c r="A118" s="8" t="s">
        <v>1346</v>
      </c>
      <c r="B118" s="9" t="s">
        <v>1347</v>
      </c>
      <c r="C118" s="9" t="s">
        <v>962</v>
      </c>
      <c r="D118" s="9" t="s">
        <v>1348</v>
      </c>
      <c r="E118" s="9" t="s">
        <v>1349</v>
      </c>
      <c r="F118" s="8"/>
      <c r="G118" s="8" t="s">
        <v>969</v>
      </c>
      <c r="H118" s="8" t="s">
        <v>660</v>
      </c>
      <c r="I118" s="8" t="s">
        <v>422</v>
      </c>
      <c r="J118" s="8" t="s">
        <v>85</v>
      </c>
      <c r="K118" s="8" t="s">
        <v>69</v>
      </c>
      <c r="L118" s="9"/>
      <c r="M118" s="9"/>
      <c r="N118" s="20" t="s">
        <v>77</v>
      </c>
      <c r="O118" s="20" t="s">
        <v>942</v>
      </c>
    </row>
    <row r="119" spans="1:15" ht="60" customHeight="1">
      <c r="A119" s="8" t="s">
        <v>1350</v>
      </c>
      <c r="B119" s="9" t="s">
        <v>1351</v>
      </c>
      <c r="C119" s="9" t="s">
        <v>962</v>
      </c>
      <c r="D119" s="9" t="s">
        <v>1352</v>
      </c>
      <c r="E119" s="9" t="s">
        <v>1353</v>
      </c>
      <c r="F119" s="8"/>
      <c r="G119" s="8" t="s">
        <v>969</v>
      </c>
      <c r="H119" s="8" t="s">
        <v>660</v>
      </c>
      <c r="I119" s="8" t="s">
        <v>422</v>
      </c>
      <c r="J119" s="8" t="s">
        <v>85</v>
      </c>
      <c r="K119" s="8" t="s">
        <v>306</v>
      </c>
      <c r="L119" s="9"/>
      <c r="M119" s="9"/>
      <c r="N119" s="20" t="s">
        <v>77</v>
      </c>
      <c r="O119" s="20" t="s">
        <v>942</v>
      </c>
    </row>
    <row r="120" spans="1:15" ht="60" customHeight="1">
      <c r="A120" s="8" t="s">
        <v>1354</v>
      </c>
      <c r="B120" s="9" t="s">
        <v>1355</v>
      </c>
      <c r="C120" s="9" t="s">
        <v>962</v>
      </c>
      <c r="D120" s="9" t="s">
        <v>1356</v>
      </c>
      <c r="E120" s="9" t="s">
        <v>1357</v>
      </c>
      <c r="F120" s="8"/>
      <c r="G120" s="8" t="s">
        <v>969</v>
      </c>
      <c r="H120" s="8" t="s">
        <v>660</v>
      </c>
      <c r="I120" s="8" t="s">
        <v>422</v>
      </c>
      <c r="J120" s="8" t="s">
        <v>85</v>
      </c>
      <c r="K120" s="8" t="s">
        <v>306</v>
      </c>
      <c r="L120" s="9"/>
      <c r="M120" s="9"/>
      <c r="N120" s="20" t="s">
        <v>77</v>
      </c>
      <c r="O120" s="20" t="s">
        <v>942</v>
      </c>
    </row>
    <row r="121" spans="1:15" ht="60" customHeight="1">
      <c r="A121" s="8" t="s">
        <v>1358</v>
      </c>
      <c r="B121" s="9" t="s">
        <v>1359</v>
      </c>
      <c r="C121" s="9" t="s">
        <v>962</v>
      </c>
      <c r="D121" s="9" t="s">
        <v>1360</v>
      </c>
      <c r="E121" s="9" t="s">
        <v>1361</v>
      </c>
      <c r="F121" s="8"/>
      <c r="G121" s="8" t="s">
        <v>969</v>
      </c>
      <c r="H121" s="8" t="s">
        <v>660</v>
      </c>
      <c r="I121" s="8" t="s">
        <v>422</v>
      </c>
      <c r="J121" s="8" t="s">
        <v>85</v>
      </c>
      <c r="K121" s="8" t="s">
        <v>306</v>
      </c>
      <c r="L121" s="9"/>
      <c r="M121" s="9"/>
      <c r="N121" s="20" t="s">
        <v>77</v>
      </c>
      <c r="O121" s="20" t="s">
        <v>942</v>
      </c>
    </row>
    <row r="122" spans="1:15" ht="60" customHeight="1">
      <c r="A122" s="8" t="s">
        <v>1362</v>
      </c>
      <c r="B122" s="9" t="s">
        <v>1363</v>
      </c>
      <c r="C122" s="9" t="s">
        <v>962</v>
      </c>
      <c r="D122" s="9" t="s">
        <v>1364</v>
      </c>
      <c r="E122" s="9" t="s">
        <v>1365</v>
      </c>
      <c r="F122" s="8"/>
      <c r="G122" s="8" t="s">
        <v>969</v>
      </c>
      <c r="H122" s="8" t="s">
        <v>660</v>
      </c>
      <c r="I122" s="8" t="s">
        <v>422</v>
      </c>
      <c r="J122" s="8" t="s">
        <v>85</v>
      </c>
      <c r="K122" s="8" t="s">
        <v>69</v>
      </c>
      <c r="L122" s="9"/>
      <c r="M122" s="9"/>
      <c r="N122" s="20" t="s">
        <v>77</v>
      </c>
      <c r="O122" s="20" t="s">
        <v>942</v>
      </c>
    </row>
    <row r="123" spans="1:15" ht="60" customHeight="1">
      <c r="A123" s="8" t="s">
        <v>1366</v>
      </c>
      <c r="B123" s="9" t="s">
        <v>1367</v>
      </c>
      <c r="C123" s="9" t="s">
        <v>962</v>
      </c>
      <c r="D123" s="9" t="s">
        <v>1368</v>
      </c>
      <c r="E123" s="9" t="s">
        <v>1369</v>
      </c>
      <c r="F123" s="8"/>
      <c r="G123" s="8" t="s">
        <v>969</v>
      </c>
      <c r="H123" s="8" t="s">
        <v>660</v>
      </c>
      <c r="I123" s="8" t="s">
        <v>422</v>
      </c>
      <c r="J123" s="8" t="s">
        <v>85</v>
      </c>
      <c r="K123" s="8" t="s">
        <v>306</v>
      </c>
      <c r="L123" s="9"/>
      <c r="M123" s="9"/>
      <c r="N123" s="20" t="s">
        <v>77</v>
      </c>
      <c r="O123" s="20" t="s">
        <v>942</v>
      </c>
    </row>
    <row r="124" spans="1:15" ht="60" customHeight="1">
      <c r="A124" s="8" t="s">
        <v>1370</v>
      </c>
      <c r="B124" s="9" t="s">
        <v>1371</v>
      </c>
      <c r="C124" s="9" t="s">
        <v>1372</v>
      </c>
      <c r="D124" s="9" t="s">
        <v>1373</v>
      </c>
      <c r="E124" s="9" t="s">
        <v>1374</v>
      </c>
      <c r="F124" s="8"/>
      <c r="G124" s="8" t="s">
        <v>969</v>
      </c>
      <c r="H124" s="8" t="s">
        <v>660</v>
      </c>
      <c r="I124" s="8" t="s">
        <v>422</v>
      </c>
      <c r="J124" s="8" t="s">
        <v>85</v>
      </c>
      <c r="K124" s="8" t="s">
        <v>306</v>
      </c>
      <c r="L124" s="9"/>
      <c r="M124" s="9"/>
      <c r="N124" s="20" t="s">
        <v>77</v>
      </c>
      <c r="O124" s="20" t="s">
        <v>942</v>
      </c>
    </row>
    <row r="125" spans="1:15" ht="60" customHeight="1">
      <c r="A125" s="8" t="s">
        <v>1375</v>
      </c>
      <c r="B125" s="9" t="s">
        <v>1376</v>
      </c>
      <c r="C125" s="9" t="s">
        <v>1377</v>
      </c>
      <c r="D125" s="9" t="s">
        <v>1378</v>
      </c>
      <c r="E125" s="9" t="s">
        <v>1379</v>
      </c>
      <c r="F125" s="8"/>
      <c r="G125" s="8" t="s">
        <v>969</v>
      </c>
      <c r="H125" s="8" t="s">
        <v>660</v>
      </c>
      <c r="I125" s="8" t="s">
        <v>422</v>
      </c>
      <c r="J125" s="8" t="s">
        <v>93</v>
      </c>
      <c r="K125" s="8" t="s">
        <v>69</v>
      </c>
      <c r="L125" s="9"/>
      <c r="M125" s="9"/>
      <c r="N125" s="20" t="s">
        <v>77</v>
      </c>
      <c r="O125" s="20" t="s">
        <v>942</v>
      </c>
    </row>
    <row r="126" spans="1:15" ht="60" customHeight="1">
      <c r="A126" s="8" t="s">
        <v>1380</v>
      </c>
      <c r="B126" s="9" t="s">
        <v>1381</v>
      </c>
      <c r="C126" s="9" t="s">
        <v>962</v>
      </c>
      <c r="D126" s="9" t="s">
        <v>1382</v>
      </c>
      <c r="E126" s="9" t="s">
        <v>1383</v>
      </c>
      <c r="F126" s="8"/>
      <c r="G126" s="8" t="s">
        <v>143</v>
      </c>
      <c r="H126" s="8" t="s">
        <v>1207</v>
      </c>
      <c r="I126" s="8" t="s">
        <v>422</v>
      </c>
      <c r="J126" s="8" t="s">
        <v>93</v>
      </c>
      <c r="K126" s="8" t="s">
        <v>306</v>
      </c>
      <c r="L126" s="9"/>
      <c r="M126" s="9"/>
      <c r="N126" s="20" t="s">
        <v>77</v>
      </c>
      <c r="O126" s="20" t="s">
        <v>942</v>
      </c>
    </row>
    <row r="127" spans="1:15" ht="60" customHeight="1">
      <c r="A127" s="8" t="s">
        <v>1384</v>
      </c>
      <c r="B127" s="9" t="s">
        <v>1385</v>
      </c>
      <c r="C127" s="9" t="s">
        <v>1386</v>
      </c>
      <c r="D127" s="9" t="s">
        <v>1387</v>
      </c>
      <c r="E127" s="9" t="s">
        <v>1388</v>
      </c>
      <c r="F127" s="8"/>
      <c r="G127" s="8" t="s">
        <v>143</v>
      </c>
      <c r="H127" s="8" t="s">
        <v>1207</v>
      </c>
      <c r="I127" s="8" t="s">
        <v>422</v>
      </c>
      <c r="J127" s="8" t="s">
        <v>85</v>
      </c>
      <c r="K127" s="8" t="s">
        <v>69</v>
      </c>
      <c r="L127" s="9"/>
      <c r="M127" s="9"/>
      <c r="N127" s="20" t="s">
        <v>77</v>
      </c>
      <c r="O127" s="20" t="s">
        <v>942</v>
      </c>
    </row>
    <row r="128" spans="1:15" ht="60" customHeight="1">
      <c r="A128" s="8" t="s">
        <v>1389</v>
      </c>
      <c r="B128" s="9" t="s">
        <v>1390</v>
      </c>
      <c r="C128" s="9" t="s">
        <v>1391</v>
      </c>
      <c r="D128" s="9" t="s">
        <v>1392</v>
      </c>
      <c r="E128" s="9" t="s">
        <v>1393</v>
      </c>
      <c r="F128" s="8"/>
      <c r="G128" s="8" t="s">
        <v>143</v>
      </c>
      <c r="H128" s="8" t="s">
        <v>1207</v>
      </c>
      <c r="I128" s="8" t="s">
        <v>422</v>
      </c>
      <c r="J128" s="8" t="s">
        <v>68</v>
      </c>
      <c r="K128" s="8" t="s">
        <v>69</v>
      </c>
      <c r="L128" s="9"/>
      <c r="M128" s="9"/>
      <c r="N128" s="20" t="s">
        <v>77</v>
      </c>
      <c r="O128" s="20" t="s">
        <v>942</v>
      </c>
    </row>
    <row r="129" spans="1:15" ht="60" customHeight="1">
      <c r="A129" s="8" t="s">
        <v>1394</v>
      </c>
      <c r="B129" s="9" t="s">
        <v>1395</v>
      </c>
      <c r="C129" s="9" t="s">
        <v>1396</v>
      </c>
      <c r="D129" s="9" t="s">
        <v>1397</v>
      </c>
      <c r="E129" s="9" t="s">
        <v>1398</v>
      </c>
      <c r="F129" s="8"/>
      <c r="G129" s="8" t="s">
        <v>143</v>
      </c>
      <c r="H129" s="8" t="s">
        <v>1207</v>
      </c>
      <c r="I129" s="8" t="s">
        <v>422</v>
      </c>
      <c r="J129" s="8" t="s">
        <v>68</v>
      </c>
      <c r="K129" s="8" t="s">
        <v>69</v>
      </c>
      <c r="L129" s="9"/>
      <c r="M129" s="9"/>
      <c r="N129" s="20" t="s">
        <v>77</v>
      </c>
      <c r="O129" s="20" t="s">
        <v>942</v>
      </c>
    </row>
  </sheetData>
  <mergeCells count="15">
    <mergeCell ref="A2:M2"/>
    <mergeCell ref="A77:M77"/>
    <mergeCell ref="A97:M97"/>
    <mergeCell ref="A50:M50"/>
    <mergeCell ref="A3:M3"/>
    <mergeCell ref="A21:M21"/>
    <mergeCell ref="A54:M54"/>
    <mergeCell ref="A29:M29"/>
    <mergeCell ref="A7:M7"/>
    <mergeCell ref="A38:M38"/>
    <mergeCell ref="A14:M14"/>
    <mergeCell ref="A25:M25"/>
    <mergeCell ref="A9:M9"/>
    <mergeCell ref="A27:M27"/>
    <mergeCell ref="A67:M67"/>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6"/>
  <sheetViews>
    <sheetView workbookViewId="0">
      <pane ySplit="2" topLeftCell="A3" activePane="bottomLeft" state="frozen"/>
      <selection pane="bottomLeft" activeCell="J5" sqref="J5"/>
    </sheetView>
  </sheetViews>
  <sheetFormatPr defaultRowHeight="15"/>
  <cols>
    <col min="1" max="1" width="12" customWidth="1"/>
    <col min="2" max="2" width="42" customWidth="1"/>
    <col min="3" max="3" width="26" customWidth="1"/>
    <col min="4" max="5" width="34" customWidth="1"/>
    <col min="6" max="6" width="10" customWidth="1"/>
    <col min="7" max="7" width="14" customWidth="1"/>
    <col min="8" max="8" width="10" customWidth="1"/>
    <col min="9" max="9" width="12" customWidth="1"/>
    <col min="10" max="10" width="9" customWidth="1"/>
    <col min="11" max="11" width="10" customWidth="1"/>
    <col min="12" max="12" width="16" customWidth="1"/>
    <col min="13" max="13" width="14" customWidth="1"/>
    <col min="14" max="14" width="46" customWidth="1"/>
  </cols>
  <sheetData>
    <row r="1" spans="1:14" ht="27.95" customHeight="1">
      <c r="A1" s="7" t="s">
        <v>45</v>
      </c>
      <c r="B1" s="7" t="s">
        <v>46</v>
      </c>
      <c r="C1" s="7" t="s">
        <v>47</v>
      </c>
      <c r="D1" s="7" t="s">
        <v>48</v>
      </c>
      <c r="E1" s="7" t="s">
        <v>49</v>
      </c>
      <c r="F1" s="7" t="s">
        <v>50</v>
      </c>
      <c r="G1" s="7" t="s">
        <v>935</v>
      </c>
      <c r="H1" s="7" t="s">
        <v>52</v>
      </c>
      <c r="I1" s="7" t="s">
        <v>53</v>
      </c>
      <c r="J1" s="7" t="s">
        <v>54</v>
      </c>
      <c r="K1" s="7" t="s">
        <v>55</v>
      </c>
      <c r="L1" s="7" t="s">
        <v>56</v>
      </c>
      <c r="M1" s="17" t="s">
        <v>57</v>
      </c>
      <c r="N1" s="17" t="s">
        <v>58</v>
      </c>
    </row>
    <row r="2" spans="1:14" ht="42" customHeight="1">
      <c r="A2" s="26" t="s">
        <v>59</v>
      </c>
      <c r="B2" s="27"/>
      <c r="C2" s="27"/>
      <c r="D2" s="27"/>
      <c r="E2" s="27"/>
      <c r="F2" s="27"/>
      <c r="G2" s="27"/>
      <c r="H2" s="27"/>
      <c r="I2" s="27"/>
      <c r="J2" s="27"/>
      <c r="K2" s="27"/>
      <c r="L2" s="27"/>
    </row>
    <row r="3" spans="1:14" ht="20.100000000000001" customHeight="1">
      <c r="A3" s="25" t="s">
        <v>1399</v>
      </c>
      <c r="B3" s="28"/>
      <c r="C3" s="28"/>
      <c r="D3" s="28"/>
      <c r="E3" s="28"/>
      <c r="F3" s="28"/>
      <c r="G3" s="28"/>
      <c r="H3" s="28"/>
      <c r="I3" s="28"/>
      <c r="J3" s="28"/>
      <c r="K3" s="28"/>
      <c r="L3" s="29"/>
    </row>
    <row r="4" spans="1:14" ht="60" customHeight="1">
      <c r="A4" s="8" t="s">
        <v>1400</v>
      </c>
      <c r="B4" s="9" t="s">
        <v>1401</v>
      </c>
      <c r="C4" s="9" t="s">
        <v>1402</v>
      </c>
      <c r="D4" s="9" t="s">
        <v>1403</v>
      </c>
      <c r="E4" s="9" t="s">
        <v>1404</v>
      </c>
      <c r="F4" s="8"/>
      <c r="G4" s="8" t="s">
        <v>143</v>
      </c>
      <c r="H4" s="8" t="s">
        <v>1207</v>
      </c>
      <c r="I4" s="8" t="s">
        <v>67</v>
      </c>
      <c r="J4" s="8" t="s">
        <v>85</v>
      </c>
      <c r="K4" s="8" t="s">
        <v>913</v>
      </c>
      <c r="L4" s="9"/>
      <c r="M4" s="20" t="s">
        <v>77</v>
      </c>
      <c r="N4" s="20" t="s">
        <v>942</v>
      </c>
    </row>
    <row r="5" spans="1:14" ht="60" customHeight="1">
      <c r="A5" s="8" t="s">
        <v>1405</v>
      </c>
      <c r="B5" s="9" t="s">
        <v>1406</v>
      </c>
      <c r="C5" s="9" t="s">
        <v>1407</v>
      </c>
      <c r="D5" s="9" t="s">
        <v>1408</v>
      </c>
      <c r="E5" s="9" t="s">
        <v>1409</v>
      </c>
      <c r="F5" s="8"/>
      <c r="G5" s="8" t="s">
        <v>143</v>
      </c>
      <c r="H5" s="8" t="s">
        <v>1207</v>
      </c>
      <c r="I5" s="8" t="s">
        <v>67</v>
      </c>
      <c r="J5" s="8" t="s">
        <v>85</v>
      </c>
      <c r="K5" s="8" t="s">
        <v>913</v>
      </c>
      <c r="L5" s="9"/>
      <c r="M5" s="20" t="s">
        <v>77</v>
      </c>
      <c r="N5" s="20" t="s">
        <v>942</v>
      </c>
    </row>
    <row r="6" spans="1:14" ht="60" customHeight="1">
      <c r="A6" s="8" t="s">
        <v>1410</v>
      </c>
      <c r="B6" s="9" t="s">
        <v>1411</v>
      </c>
      <c r="C6" s="9" t="s">
        <v>1412</v>
      </c>
      <c r="D6" s="9" t="s">
        <v>1413</v>
      </c>
      <c r="E6" s="9" t="s">
        <v>1414</v>
      </c>
      <c r="F6" s="8"/>
      <c r="G6" s="8" t="s">
        <v>143</v>
      </c>
      <c r="H6" s="8" t="s">
        <v>1207</v>
      </c>
      <c r="I6" s="8" t="s">
        <v>92</v>
      </c>
      <c r="J6" s="8" t="s">
        <v>85</v>
      </c>
      <c r="K6" s="8" t="s">
        <v>913</v>
      </c>
      <c r="L6" s="9"/>
      <c r="M6" s="20" t="s">
        <v>77</v>
      </c>
      <c r="N6" s="20" t="s">
        <v>942</v>
      </c>
    </row>
    <row r="7" spans="1:14" ht="60" customHeight="1">
      <c r="A7" s="8" t="s">
        <v>1415</v>
      </c>
      <c r="B7" s="9" t="s">
        <v>1416</v>
      </c>
      <c r="C7" s="9" t="s">
        <v>1417</v>
      </c>
      <c r="D7" s="9" t="s">
        <v>1418</v>
      </c>
      <c r="E7" s="9" t="s">
        <v>1419</v>
      </c>
      <c r="F7" s="8"/>
      <c r="G7" s="8" t="s">
        <v>143</v>
      </c>
      <c r="H7" s="8" t="s">
        <v>1207</v>
      </c>
      <c r="I7" s="8" t="s">
        <v>67</v>
      </c>
      <c r="J7" s="8" t="s">
        <v>85</v>
      </c>
      <c r="K7" s="8" t="s">
        <v>306</v>
      </c>
      <c r="L7" s="9"/>
      <c r="M7" s="20" t="s">
        <v>77</v>
      </c>
      <c r="N7" s="20" t="s">
        <v>942</v>
      </c>
    </row>
    <row r="8" spans="1:14" ht="60" customHeight="1">
      <c r="A8" s="8" t="s">
        <v>1420</v>
      </c>
      <c r="B8" s="9" t="s">
        <v>1421</v>
      </c>
      <c r="C8" s="9" t="s">
        <v>945</v>
      </c>
      <c r="D8" s="9" t="s">
        <v>1422</v>
      </c>
      <c r="E8" s="9" t="s">
        <v>1423</v>
      </c>
      <c r="F8" s="8"/>
      <c r="G8" s="8" t="s">
        <v>143</v>
      </c>
      <c r="H8" s="8" t="s">
        <v>1207</v>
      </c>
      <c r="I8" s="8" t="s">
        <v>92</v>
      </c>
      <c r="J8" s="8" t="s">
        <v>85</v>
      </c>
      <c r="K8" s="8" t="s">
        <v>913</v>
      </c>
      <c r="L8" s="9"/>
      <c r="M8" s="20" t="s">
        <v>77</v>
      </c>
      <c r="N8" s="20" t="s">
        <v>942</v>
      </c>
    </row>
    <row r="9" spans="1:14" ht="60" customHeight="1">
      <c r="A9" s="8" t="s">
        <v>1424</v>
      </c>
      <c r="B9" s="9" t="s">
        <v>1425</v>
      </c>
      <c r="C9" s="9" t="s">
        <v>1407</v>
      </c>
      <c r="D9" s="9" t="s">
        <v>1426</v>
      </c>
      <c r="E9" s="9" t="s">
        <v>1427</v>
      </c>
      <c r="F9" s="8"/>
      <c r="G9" s="8" t="s">
        <v>143</v>
      </c>
      <c r="H9" s="8" t="s">
        <v>1207</v>
      </c>
      <c r="I9" s="8" t="s">
        <v>67</v>
      </c>
      <c r="J9" s="8" t="s">
        <v>93</v>
      </c>
      <c r="K9" s="8" t="s">
        <v>913</v>
      </c>
      <c r="L9" s="9"/>
      <c r="M9" s="20" t="s">
        <v>77</v>
      </c>
      <c r="N9" s="20" t="s">
        <v>942</v>
      </c>
    </row>
    <row r="10" spans="1:14" ht="60" customHeight="1">
      <c r="A10" s="8" t="s">
        <v>1428</v>
      </c>
      <c r="B10" s="9" t="s">
        <v>1429</v>
      </c>
      <c r="C10" s="9" t="s">
        <v>1430</v>
      </c>
      <c r="D10" s="9" t="s">
        <v>1431</v>
      </c>
      <c r="E10" s="9" t="s">
        <v>1432</v>
      </c>
      <c r="F10" s="8"/>
      <c r="G10" s="8" t="s">
        <v>143</v>
      </c>
      <c r="H10" s="8" t="s">
        <v>1207</v>
      </c>
      <c r="I10" s="8" t="s">
        <v>67</v>
      </c>
      <c r="J10" s="8" t="s">
        <v>93</v>
      </c>
      <c r="K10" s="8" t="s">
        <v>913</v>
      </c>
      <c r="L10" s="9"/>
      <c r="M10" s="20" t="s">
        <v>77</v>
      </c>
      <c r="N10" s="20" t="s">
        <v>942</v>
      </c>
    </row>
    <row r="11" spans="1:14" ht="60" customHeight="1">
      <c r="A11" s="8" t="s">
        <v>1433</v>
      </c>
      <c r="B11" s="9" t="s">
        <v>1434</v>
      </c>
      <c r="C11" s="9" t="s">
        <v>1412</v>
      </c>
      <c r="D11" s="9" t="s">
        <v>1413</v>
      </c>
      <c r="E11" s="9" t="s">
        <v>1435</v>
      </c>
      <c r="F11" s="8"/>
      <c r="G11" s="8" t="s">
        <v>143</v>
      </c>
      <c r="H11" s="8" t="s">
        <v>1207</v>
      </c>
      <c r="I11" s="8" t="s">
        <v>92</v>
      </c>
      <c r="J11" s="8" t="s">
        <v>93</v>
      </c>
      <c r="K11" s="8" t="s">
        <v>913</v>
      </c>
      <c r="L11" s="9"/>
      <c r="M11" s="20" t="s">
        <v>77</v>
      </c>
      <c r="N11" s="20" t="s">
        <v>942</v>
      </c>
    </row>
    <row r="12" spans="1:14" ht="60" customHeight="1">
      <c r="A12" s="8" t="s">
        <v>1436</v>
      </c>
      <c r="B12" s="9" t="s">
        <v>1437</v>
      </c>
      <c r="C12" s="9" t="s">
        <v>945</v>
      </c>
      <c r="D12" s="9" t="s">
        <v>1438</v>
      </c>
      <c r="E12" s="9" t="s">
        <v>1439</v>
      </c>
      <c r="F12" s="8"/>
      <c r="G12" s="8" t="s">
        <v>143</v>
      </c>
      <c r="H12" s="8" t="s">
        <v>1207</v>
      </c>
      <c r="I12" s="8" t="s">
        <v>92</v>
      </c>
      <c r="J12" s="8" t="s">
        <v>93</v>
      </c>
      <c r="K12" s="8" t="s">
        <v>913</v>
      </c>
      <c r="L12" s="9"/>
      <c r="M12" s="20" t="s">
        <v>77</v>
      </c>
      <c r="N12" s="20" t="s">
        <v>942</v>
      </c>
    </row>
    <row r="13" spans="1:14" ht="60" customHeight="1">
      <c r="A13" s="8" t="s">
        <v>1440</v>
      </c>
      <c r="B13" s="9" t="s">
        <v>1441</v>
      </c>
      <c r="C13" s="9" t="s">
        <v>945</v>
      </c>
      <c r="D13" s="9" t="s">
        <v>1442</v>
      </c>
      <c r="E13" s="9" t="s">
        <v>1443</v>
      </c>
      <c r="F13" s="8"/>
      <c r="G13" s="8" t="s">
        <v>143</v>
      </c>
      <c r="H13" s="8" t="s">
        <v>1207</v>
      </c>
      <c r="I13" s="8" t="s">
        <v>67</v>
      </c>
      <c r="J13" s="8" t="s">
        <v>1153</v>
      </c>
      <c r="K13" s="8" t="s">
        <v>913</v>
      </c>
      <c r="L13" s="9"/>
      <c r="M13" s="20" t="s">
        <v>77</v>
      </c>
      <c r="N13" s="20" t="s">
        <v>942</v>
      </c>
    </row>
    <row r="14" spans="1:14" ht="20.100000000000001" customHeight="1">
      <c r="A14" s="25" t="s">
        <v>1444</v>
      </c>
      <c r="B14" s="28"/>
      <c r="C14" s="28"/>
      <c r="D14" s="28"/>
      <c r="E14" s="28"/>
      <c r="F14" s="28"/>
      <c r="G14" s="28"/>
      <c r="H14" s="28"/>
      <c r="I14" s="28"/>
      <c r="J14" s="28"/>
      <c r="K14" s="28"/>
      <c r="L14" s="29"/>
    </row>
    <row r="15" spans="1:14" ht="60" customHeight="1">
      <c r="A15" s="8" t="s">
        <v>1445</v>
      </c>
      <c r="B15" s="9" t="s">
        <v>1446</v>
      </c>
      <c r="C15" s="9" t="s">
        <v>1447</v>
      </c>
      <c r="D15" s="9" t="s">
        <v>1448</v>
      </c>
      <c r="E15" s="9" t="s">
        <v>1449</v>
      </c>
      <c r="F15" s="8"/>
      <c r="G15" s="8" t="s">
        <v>1275</v>
      </c>
      <c r="H15" s="8"/>
      <c r="I15" s="8" t="s">
        <v>67</v>
      </c>
      <c r="J15" s="8" t="s">
        <v>85</v>
      </c>
      <c r="K15" s="8" t="s">
        <v>306</v>
      </c>
      <c r="L15" s="9"/>
      <c r="M15" s="20" t="s">
        <v>77</v>
      </c>
      <c r="N15" s="20" t="s">
        <v>942</v>
      </c>
    </row>
    <row r="16" spans="1:14" ht="60" customHeight="1">
      <c r="A16" s="8" t="s">
        <v>1450</v>
      </c>
      <c r="B16" s="9" t="s">
        <v>1451</v>
      </c>
      <c r="C16" s="9" t="s">
        <v>1452</v>
      </c>
      <c r="D16" s="9" t="s">
        <v>1453</v>
      </c>
      <c r="E16" s="9" t="s">
        <v>1454</v>
      </c>
      <c r="F16" s="8"/>
      <c r="G16" s="8" t="s">
        <v>1275</v>
      </c>
      <c r="H16" s="8"/>
      <c r="I16" s="8" t="s">
        <v>67</v>
      </c>
      <c r="J16" s="8" t="s">
        <v>85</v>
      </c>
      <c r="K16" s="8" t="s">
        <v>306</v>
      </c>
      <c r="L16" s="9"/>
      <c r="M16" s="20" t="s">
        <v>77</v>
      </c>
      <c r="N16" s="20" t="s">
        <v>942</v>
      </c>
    </row>
  </sheetData>
  <mergeCells count="3">
    <mergeCell ref="A14:L14"/>
    <mergeCell ref="A3:L3"/>
    <mergeCell ref="A2:L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9"/>
  <sheetViews>
    <sheetView workbookViewId="0">
      <pane ySplit="2" topLeftCell="A3" activePane="bottomLeft" state="frozen"/>
      <selection pane="bottomLeft" activeCell="K4" sqref="K4"/>
    </sheetView>
  </sheetViews>
  <sheetFormatPr defaultRowHeight="15"/>
  <cols>
    <col min="1" max="1" width="12" customWidth="1"/>
    <col min="2" max="2" width="42" customWidth="1"/>
    <col min="3" max="3" width="26" customWidth="1"/>
    <col min="4" max="5" width="34" customWidth="1"/>
    <col min="6" max="6" width="10" customWidth="1"/>
    <col min="7" max="7" width="14" customWidth="1"/>
    <col min="8" max="8" width="10" customWidth="1"/>
    <col min="9" max="9" width="12" customWidth="1"/>
    <col min="10" max="10" width="9" customWidth="1"/>
    <col min="11" max="11" width="10" customWidth="1"/>
    <col min="12" max="12" width="22" customWidth="1"/>
    <col min="13" max="13" width="16" customWidth="1"/>
    <col min="14" max="14" width="14" customWidth="1"/>
    <col min="15" max="15" width="46" customWidth="1"/>
  </cols>
  <sheetData>
    <row r="1" spans="1:15" ht="27.95" customHeight="1">
      <c r="A1" s="7" t="s">
        <v>45</v>
      </c>
      <c r="B1" s="7" t="s">
        <v>46</v>
      </c>
      <c r="C1" s="7" t="s">
        <v>47</v>
      </c>
      <c r="D1" s="7" t="s">
        <v>48</v>
      </c>
      <c r="E1" s="7" t="s">
        <v>49</v>
      </c>
      <c r="F1" s="7" t="s">
        <v>50</v>
      </c>
      <c r="G1" s="7" t="s">
        <v>935</v>
      </c>
      <c r="H1" s="7" t="s">
        <v>52</v>
      </c>
      <c r="I1" s="7" t="s">
        <v>53</v>
      </c>
      <c r="J1" s="7" t="s">
        <v>54</v>
      </c>
      <c r="K1" s="7" t="s">
        <v>55</v>
      </c>
      <c r="L1" s="7" t="s">
        <v>936</v>
      </c>
      <c r="M1" s="7" t="s">
        <v>56</v>
      </c>
      <c r="N1" s="23"/>
      <c r="O1" s="23"/>
    </row>
    <row r="2" spans="1:15" ht="42" customHeight="1">
      <c r="A2" s="26" t="s">
        <v>59</v>
      </c>
      <c r="B2" s="27"/>
      <c r="C2" s="27"/>
      <c r="D2" s="27"/>
      <c r="E2" s="27"/>
      <c r="F2" s="27"/>
      <c r="G2" s="27"/>
      <c r="H2" s="27"/>
      <c r="I2" s="27"/>
      <c r="J2" s="27"/>
      <c r="K2" s="27"/>
      <c r="L2" s="27"/>
      <c r="M2" s="27"/>
    </row>
    <row r="3" spans="1:15" ht="20.100000000000001" customHeight="1">
      <c r="A3" s="30" t="s">
        <v>1455</v>
      </c>
      <c r="B3" s="28"/>
      <c r="C3" s="28"/>
      <c r="D3" s="28"/>
      <c r="E3" s="28"/>
      <c r="F3" s="28"/>
      <c r="G3" s="28"/>
      <c r="H3" s="28"/>
      <c r="I3" s="28"/>
      <c r="J3" s="28"/>
      <c r="K3" s="28"/>
      <c r="L3" s="28"/>
      <c r="M3" s="29"/>
    </row>
    <row r="4" spans="1:15" ht="117" customHeight="1">
      <c r="A4" s="8" t="s">
        <v>1456</v>
      </c>
      <c r="B4" s="9" t="s">
        <v>1457</v>
      </c>
      <c r="C4" s="9" t="s">
        <v>1458</v>
      </c>
      <c r="D4" s="9" t="s">
        <v>1459</v>
      </c>
      <c r="E4" s="9" t="s">
        <v>1460</v>
      </c>
      <c r="F4" s="8"/>
      <c r="G4" s="8" t="s">
        <v>1275</v>
      </c>
      <c r="H4" s="8"/>
      <c r="I4" s="8" t="s">
        <v>1461</v>
      </c>
      <c r="J4" s="8" t="s">
        <v>85</v>
      </c>
      <c r="K4" s="8" t="s">
        <v>306</v>
      </c>
      <c r="L4" s="9"/>
      <c r="M4" s="9"/>
      <c r="N4" s="20"/>
      <c r="O4" s="20"/>
    </row>
    <row r="5" spans="1:15" ht="84.75" customHeight="1">
      <c r="A5" s="8" t="s">
        <v>1462</v>
      </c>
      <c r="B5" s="9" t="s">
        <v>1463</v>
      </c>
      <c r="C5" s="9" t="s">
        <v>1464</v>
      </c>
      <c r="D5" s="9" t="s">
        <v>1465</v>
      </c>
      <c r="E5" s="9" t="s">
        <v>1466</v>
      </c>
      <c r="F5" s="8"/>
      <c r="G5" s="8" t="s">
        <v>1275</v>
      </c>
      <c r="H5" s="8"/>
      <c r="I5" s="8" t="s">
        <v>1467</v>
      </c>
      <c r="J5" s="8" t="s">
        <v>85</v>
      </c>
      <c r="K5" s="8" t="s">
        <v>306</v>
      </c>
      <c r="L5" s="9"/>
      <c r="M5" s="9"/>
      <c r="N5" s="20"/>
      <c r="O5" s="20"/>
    </row>
    <row r="6" spans="1:15" ht="122.25" customHeight="1">
      <c r="A6" s="8" t="s">
        <v>1468</v>
      </c>
      <c r="B6" s="9" t="s">
        <v>1469</v>
      </c>
      <c r="C6" s="9" t="s">
        <v>1470</v>
      </c>
      <c r="D6" s="9" t="s">
        <v>1471</v>
      </c>
      <c r="E6" s="9" t="s">
        <v>1472</v>
      </c>
      <c r="F6" s="8"/>
      <c r="G6" s="8" t="s">
        <v>1275</v>
      </c>
      <c r="H6" s="8"/>
      <c r="I6" s="8" t="s">
        <v>1461</v>
      </c>
      <c r="J6" s="8" t="s">
        <v>93</v>
      </c>
      <c r="K6" s="8" t="s">
        <v>913</v>
      </c>
      <c r="L6" s="9"/>
      <c r="M6" s="9"/>
      <c r="N6" s="20"/>
      <c r="O6" s="20"/>
    </row>
    <row r="7" spans="1:15" ht="20.100000000000001" customHeight="1">
      <c r="A7" s="30" t="s">
        <v>1473</v>
      </c>
      <c r="B7" s="28"/>
      <c r="C7" s="28"/>
      <c r="D7" s="28"/>
      <c r="E7" s="28"/>
      <c r="F7" s="28"/>
      <c r="G7" s="28"/>
      <c r="H7" s="28"/>
      <c r="I7" s="28"/>
      <c r="J7" s="28"/>
      <c r="K7" s="28"/>
      <c r="L7" s="28"/>
      <c r="M7" s="29"/>
    </row>
    <row r="8" spans="1:15" ht="60" customHeight="1">
      <c r="A8" s="8" t="s">
        <v>1474</v>
      </c>
      <c r="B8" s="9" t="s">
        <v>1475</v>
      </c>
      <c r="C8" s="9" t="s">
        <v>1476</v>
      </c>
      <c r="D8" s="9" t="s">
        <v>1477</v>
      </c>
      <c r="E8" s="9" t="s">
        <v>1478</v>
      </c>
      <c r="F8" s="8"/>
      <c r="G8" s="8" t="s">
        <v>1275</v>
      </c>
      <c r="H8" s="8"/>
      <c r="I8" s="8" t="s">
        <v>1461</v>
      </c>
      <c r="J8" s="8" t="s">
        <v>68</v>
      </c>
      <c r="K8" s="8" t="s">
        <v>69</v>
      </c>
      <c r="L8" s="9"/>
      <c r="M8" s="9"/>
      <c r="N8" s="20"/>
      <c r="O8" s="20"/>
    </row>
    <row r="9" spans="1:15" ht="60" customHeight="1">
      <c r="A9" s="8" t="s">
        <v>1479</v>
      </c>
      <c r="B9" s="9" t="s">
        <v>1480</v>
      </c>
      <c r="C9" s="9" t="s">
        <v>1481</v>
      </c>
      <c r="D9" s="9" t="s">
        <v>1482</v>
      </c>
      <c r="E9" s="9" t="s">
        <v>1483</v>
      </c>
      <c r="F9" s="8"/>
      <c r="G9" s="8" t="s">
        <v>1275</v>
      </c>
      <c r="H9" s="8"/>
      <c r="I9" s="8" t="s">
        <v>1461</v>
      </c>
      <c r="J9" s="8" t="s">
        <v>85</v>
      </c>
      <c r="K9" s="8" t="s">
        <v>306</v>
      </c>
      <c r="L9" s="9"/>
      <c r="M9" s="9"/>
      <c r="N9" s="20"/>
      <c r="O9" s="20"/>
    </row>
    <row r="10" spans="1:15" ht="60" customHeight="1">
      <c r="A10" s="8" t="s">
        <v>1484</v>
      </c>
      <c r="B10" s="9" t="s">
        <v>1485</v>
      </c>
      <c r="C10" s="9" t="s">
        <v>1486</v>
      </c>
      <c r="D10" s="9" t="s">
        <v>1487</v>
      </c>
      <c r="E10" s="9" t="s">
        <v>1488</v>
      </c>
      <c r="F10" s="8"/>
      <c r="G10" s="8" t="s">
        <v>1275</v>
      </c>
      <c r="H10" s="8"/>
      <c r="I10" s="8" t="s">
        <v>1461</v>
      </c>
      <c r="J10" s="8" t="s">
        <v>93</v>
      </c>
      <c r="K10" s="8" t="s">
        <v>913</v>
      </c>
      <c r="L10" s="9"/>
      <c r="M10" s="9"/>
      <c r="N10" s="20"/>
      <c r="O10" s="20"/>
    </row>
    <row r="11" spans="1:15" ht="60" customHeight="1">
      <c r="A11" s="8" t="s">
        <v>1489</v>
      </c>
      <c r="B11" s="9" t="s">
        <v>1490</v>
      </c>
      <c r="C11" s="9" t="s">
        <v>1491</v>
      </c>
      <c r="D11" s="9" t="s">
        <v>1492</v>
      </c>
      <c r="E11" s="9" t="s">
        <v>1493</v>
      </c>
      <c r="F11" s="8"/>
      <c r="G11" s="8" t="s">
        <v>1275</v>
      </c>
      <c r="H11" s="8"/>
      <c r="I11" s="8" t="s">
        <v>1461</v>
      </c>
      <c r="J11" s="8" t="s">
        <v>93</v>
      </c>
      <c r="K11" s="8" t="s">
        <v>913</v>
      </c>
      <c r="L11" s="9"/>
      <c r="M11" s="9"/>
      <c r="N11" s="20"/>
      <c r="O11" s="20"/>
    </row>
    <row r="12" spans="1:15" ht="20.100000000000001" customHeight="1">
      <c r="A12" s="30" t="s">
        <v>1494</v>
      </c>
      <c r="B12" s="28"/>
      <c r="C12" s="28"/>
      <c r="D12" s="28"/>
      <c r="E12" s="28"/>
      <c r="F12" s="28"/>
      <c r="G12" s="28"/>
      <c r="H12" s="28"/>
      <c r="I12" s="28"/>
      <c r="J12" s="28"/>
      <c r="K12" s="28"/>
      <c r="L12" s="28"/>
      <c r="M12" s="29"/>
    </row>
    <row r="13" spans="1:15" ht="60" customHeight="1">
      <c r="A13" s="8" t="s">
        <v>1495</v>
      </c>
      <c r="B13" s="9" t="s">
        <v>1496</v>
      </c>
      <c r="C13" s="9" t="s">
        <v>1497</v>
      </c>
      <c r="D13" s="9" t="s">
        <v>1498</v>
      </c>
      <c r="E13" s="9" t="s">
        <v>1499</v>
      </c>
      <c r="F13" s="8"/>
      <c r="G13" s="8" t="s">
        <v>1275</v>
      </c>
      <c r="H13" s="8"/>
      <c r="I13" s="8" t="s">
        <v>1461</v>
      </c>
      <c r="J13" s="8" t="s">
        <v>85</v>
      </c>
      <c r="K13" s="8" t="s">
        <v>913</v>
      </c>
      <c r="L13" s="9"/>
      <c r="M13" s="9"/>
      <c r="N13" s="20"/>
      <c r="O13" s="20"/>
    </row>
    <row r="14" spans="1:15" ht="60" customHeight="1">
      <c r="A14" s="8" t="s">
        <v>1500</v>
      </c>
      <c r="B14" s="9" t="s">
        <v>1501</v>
      </c>
      <c r="C14" s="9" t="s">
        <v>1502</v>
      </c>
      <c r="D14" s="9" t="s">
        <v>1503</v>
      </c>
      <c r="E14" s="9" t="s">
        <v>1504</v>
      </c>
      <c r="F14" s="8"/>
      <c r="G14" s="8" t="s">
        <v>1275</v>
      </c>
      <c r="H14" s="8"/>
      <c r="I14" s="8" t="s">
        <v>1461</v>
      </c>
      <c r="J14" s="8" t="s">
        <v>93</v>
      </c>
      <c r="K14" s="8" t="s">
        <v>913</v>
      </c>
      <c r="L14" s="9"/>
      <c r="M14" s="9"/>
      <c r="N14" s="20"/>
      <c r="O14" s="20"/>
    </row>
    <row r="15" spans="1:15" ht="135" customHeight="1">
      <c r="A15" s="8" t="s">
        <v>1505</v>
      </c>
      <c r="B15" s="9" t="s">
        <v>1506</v>
      </c>
      <c r="C15" s="9" t="s">
        <v>1507</v>
      </c>
      <c r="D15" s="9" t="s">
        <v>1508</v>
      </c>
      <c r="E15" s="9" t="s">
        <v>1509</v>
      </c>
      <c r="F15" s="8"/>
      <c r="G15" s="8" t="s">
        <v>1275</v>
      </c>
      <c r="H15" s="8"/>
      <c r="I15" s="8" t="s">
        <v>1510</v>
      </c>
      <c r="J15" s="8" t="s">
        <v>68</v>
      </c>
      <c r="K15" s="8" t="s">
        <v>69</v>
      </c>
      <c r="L15" s="9"/>
      <c r="M15" s="9"/>
      <c r="N15" s="20"/>
      <c r="O15" s="20"/>
    </row>
    <row r="16" spans="1:15" ht="20.100000000000001" customHeight="1">
      <c r="A16" s="30" t="s">
        <v>1511</v>
      </c>
      <c r="B16" s="28"/>
      <c r="C16" s="28"/>
      <c r="D16" s="28"/>
      <c r="E16" s="28"/>
      <c r="F16" s="28"/>
      <c r="G16" s="28"/>
      <c r="H16" s="28"/>
      <c r="I16" s="28"/>
      <c r="J16" s="28"/>
      <c r="K16" s="28"/>
      <c r="L16" s="28"/>
      <c r="M16" s="29"/>
    </row>
    <row r="17" spans="1:15" ht="60" customHeight="1">
      <c r="A17" s="8" t="s">
        <v>1512</v>
      </c>
      <c r="B17" s="9" t="s">
        <v>1513</v>
      </c>
      <c r="C17" s="9" t="s">
        <v>1514</v>
      </c>
      <c r="D17" s="9" t="s">
        <v>1515</v>
      </c>
      <c r="E17" s="9" t="s">
        <v>1516</v>
      </c>
      <c r="F17" s="8"/>
      <c r="G17" s="8" t="s">
        <v>1275</v>
      </c>
      <c r="H17" s="8"/>
      <c r="I17" s="8" t="s">
        <v>1461</v>
      </c>
      <c r="J17" s="8" t="s">
        <v>93</v>
      </c>
      <c r="K17" s="8" t="s">
        <v>913</v>
      </c>
      <c r="L17" s="9"/>
      <c r="M17" s="9"/>
      <c r="N17" s="20"/>
      <c r="O17" s="20"/>
    </row>
    <row r="18" spans="1:15" ht="60" customHeight="1">
      <c r="A18" s="8" t="s">
        <v>1517</v>
      </c>
      <c r="B18" s="9" t="s">
        <v>1518</v>
      </c>
      <c r="C18" s="9" t="s">
        <v>1519</v>
      </c>
      <c r="D18" s="9" t="s">
        <v>1520</v>
      </c>
      <c r="E18" s="9" t="s">
        <v>1521</v>
      </c>
      <c r="F18" s="8"/>
      <c r="G18" s="8" t="s">
        <v>1275</v>
      </c>
      <c r="H18" s="8"/>
      <c r="I18" s="8" t="s">
        <v>1461</v>
      </c>
      <c r="J18" s="8" t="s">
        <v>93</v>
      </c>
      <c r="K18" s="8" t="s">
        <v>913</v>
      </c>
      <c r="L18" s="9"/>
      <c r="M18" s="9"/>
      <c r="N18" s="20"/>
      <c r="O18" s="20"/>
    </row>
    <row r="19" spans="1:15" ht="20.100000000000001" customHeight="1">
      <c r="A19" s="30" t="s">
        <v>1522</v>
      </c>
      <c r="B19" s="28"/>
      <c r="C19" s="28"/>
      <c r="D19" s="28"/>
      <c r="E19" s="28"/>
      <c r="F19" s="28"/>
      <c r="G19" s="28"/>
      <c r="H19" s="28"/>
      <c r="I19" s="28"/>
      <c r="J19" s="28"/>
      <c r="K19" s="28"/>
      <c r="L19" s="28"/>
      <c r="M19" s="29"/>
    </row>
    <row r="20" spans="1:15" ht="60" customHeight="1">
      <c r="A20" s="8" t="s">
        <v>1523</v>
      </c>
      <c r="B20" s="9" t="s">
        <v>1524</v>
      </c>
      <c r="C20" s="9" t="s">
        <v>1525</v>
      </c>
      <c r="D20" s="9" t="s">
        <v>1526</v>
      </c>
      <c r="E20" s="9" t="s">
        <v>1527</v>
      </c>
      <c r="F20" s="8"/>
      <c r="G20" s="8" t="s">
        <v>1275</v>
      </c>
      <c r="H20" s="8"/>
      <c r="I20" s="8" t="s">
        <v>1461</v>
      </c>
      <c r="J20" s="8" t="s">
        <v>93</v>
      </c>
      <c r="K20" s="8" t="s">
        <v>913</v>
      </c>
      <c r="L20" s="9"/>
      <c r="M20" s="9"/>
      <c r="N20" s="20"/>
      <c r="O20" s="20"/>
    </row>
    <row r="21" spans="1:15" ht="60" customHeight="1">
      <c r="A21" s="8" t="s">
        <v>1528</v>
      </c>
      <c r="B21" s="9" t="s">
        <v>1529</v>
      </c>
      <c r="C21" s="9" t="s">
        <v>1530</v>
      </c>
      <c r="D21" s="9" t="s">
        <v>1531</v>
      </c>
      <c r="E21" s="9" t="s">
        <v>1532</v>
      </c>
      <c r="F21" s="8"/>
      <c r="G21" s="8" t="s">
        <v>1275</v>
      </c>
      <c r="H21" s="8"/>
      <c r="I21" s="8" t="s">
        <v>1461</v>
      </c>
      <c r="J21" s="8" t="s">
        <v>93</v>
      </c>
      <c r="K21" s="8" t="s">
        <v>913</v>
      </c>
      <c r="L21" s="9"/>
      <c r="M21" s="9"/>
      <c r="N21" s="20"/>
      <c r="O21" s="20"/>
    </row>
    <row r="22" spans="1:15" ht="60" customHeight="1">
      <c r="A22" s="8" t="s">
        <v>1533</v>
      </c>
      <c r="B22" s="9" t="s">
        <v>1534</v>
      </c>
      <c r="C22" s="9" t="s">
        <v>1535</v>
      </c>
      <c r="D22" s="9" t="s">
        <v>1536</v>
      </c>
      <c r="E22" s="9" t="s">
        <v>1537</v>
      </c>
      <c r="F22" s="8"/>
      <c r="G22" s="8" t="s">
        <v>1275</v>
      </c>
      <c r="H22" s="8"/>
      <c r="I22" s="8" t="s">
        <v>1461</v>
      </c>
      <c r="J22" s="8" t="s">
        <v>85</v>
      </c>
      <c r="K22" s="8" t="s">
        <v>913</v>
      </c>
      <c r="L22" s="9"/>
      <c r="M22" s="9"/>
      <c r="N22" s="20"/>
      <c r="O22" s="20"/>
    </row>
    <row r="23" spans="1:15" ht="60" customHeight="1">
      <c r="A23" s="8" t="s">
        <v>1538</v>
      </c>
      <c r="B23" s="9" t="s">
        <v>1539</v>
      </c>
      <c r="C23" s="9" t="s">
        <v>1540</v>
      </c>
      <c r="D23" s="9" t="s">
        <v>1541</v>
      </c>
      <c r="E23" s="9" t="s">
        <v>1542</v>
      </c>
      <c r="F23" s="8"/>
      <c r="G23" s="8" t="s">
        <v>1275</v>
      </c>
      <c r="H23" s="8"/>
      <c r="I23" s="8" t="s">
        <v>1461</v>
      </c>
      <c r="J23" s="8" t="s">
        <v>93</v>
      </c>
      <c r="K23" s="8" t="s">
        <v>913</v>
      </c>
      <c r="L23" s="9"/>
      <c r="M23" s="9"/>
      <c r="N23" s="20"/>
      <c r="O23" s="20"/>
    </row>
    <row r="24" spans="1:15" ht="60" customHeight="1">
      <c r="A24" s="8" t="s">
        <v>1543</v>
      </c>
      <c r="B24" s="9" t="s">
        <v>1544</v>
      </c>
      <c r="C24" s="9" t="s">
        <v>1545</v>
      </c>
      <c r="D24" s="9" t="s">
        <v>1546</v>
      </c>
      <c r="E24" s="9" t="s">
        <v>1547</v>
      </c>
      <c r="F24" s="8"/>
      <c r="G24" s="8" t="s">
        <v>1275</v>
      </c>
      <c r="H24" s="8"/>
      <c r="I24" s="8" t="s">
        <v>1461</v>
      </c>
      <c r="J24" s="8" t="s">
        <v>93</v>
      </c>
      <c r="K24" s="8" t="s">
        <v>913</v>
      </c>
      <c r="L24" s="9"/>
      <c r="M24" s="9"/>
      <c r="N24" s="20"/>
      <c r="O24" s="20"/>
    </row>
    <row r="25" spans="1:15" ht="20.100000000000001" customHeight="1">
      <c r="A25" s="30" t="s">
        <v>1548</v>
      </c>
      <c r="B25" s="28"/>
      <c r="C25" s="28"/>
      <c r="D25" s="28"/>
      <c r="E25" s="28"/>
      <c r="F25" s="28"/>
      <c r="G25" s="28"/>
      <c r="H25" s="28"/>
      <c r="I25" s="28"/>
      <c r="J25" s="28"/>
      <c r="K25" s="28"/>
      <c r="L25" s="28"/>
      <c r="M25" s="29"/>
    </row>
    <row r="26" spans="1:15" ht="60" customHeight="1">
      <c r="A26" s="8" t="s">
        <v>1549</v>
      </c>
      <c r="B26" s="9" t="s">
        <v>1550</v>
      </c>
      <c r="C26" s="9" t="s">
        <v>1551</v>
      </c>
      <c r="D26" s="9" t="s">
        <v>1552</v>
      </c>
      <c r="E26" s="9" t="s">
        <v>1553</v>
      </c>
      <c r="F26" s="8"/>
      <c r="G26" s="8" t="s">
        <v>1275</v>
      </c>
      <c r="H26" s="8"/>
      <c r="I26" s="8" t="s">
        <v>1554</v>
      </c>
      <c r="J26" s="8" t="s">
        <v>85</v>
      </c>
      <c r="K26" s="8" t="s">
        <v>306</v>
      </c>
      <c r="L26" s="9"/>
      <c r="M26" s="9"/>
      <c r="N26" s="20"/>
      <c r="O26" s="20"/>
    </row>
    <row r="27" spans="1:15" ht="60" customHeight="1">
      <c r="A27" s="8" t="s">
        <v>1555</v>
      </c>
      <c r="B27" s="9" t="s">
        <v>1556</v>
      </c>
      <c r="C27" s="9" t="s">
        <v>1557</v>
      </c>
      <c r="D27" s="9" t="s">
        <v>1558</v>
      </c>
      <c r="E27" s="9" t="s">
        <v>1559</v>
      </c>
      <c r="F27" s="8"/>
      <c r="G27" s="8" t="s">
        <v>1275</v>
      </c>
      <c r="H27" s="8"/>
      <c r="I27" s="8" t="s">
        <v>1554</v>
      </c>
      <c r="J27" s="8" t="s">
        <v>85</v>
      </c>
      <c r="K27" s="8" t="s">
        <v>306</v>
      </c>
      <c r="L27" s="9"/>
      <c r="M27" s="9"/>
      <c r="N27" s="20"/>
      <c r="O27" s="20"/>
    </row>
    <row r="28" spans="1:15" ht="20.100000000000001" customHeight="1">
      <c r="A28" s="30" t="s">
        <v>1560</v>
      </c>
      <c r="B28" s="28"/>
      <c r="C28" s="28"/>
      <c r="D28" s="28"/>
      <c r="E28" s="28"/>
      <c r="F28" s="28"/>
      <c r="G28" s="28"/>
      <c r="H28" s="28"/>
      <c r="I28" s="28"/>
      <c r="J28" s="28"/>
      <c r="K28" s="28"/>
      <c r="L28" s="28"/>
      <c r="M28" s="29"/>
    </row>
    <row r="29" spans="1:15" ht="60" customHeight="1">
      <c r="A29" s="8" t="s">
        <v>1561</v>
      </c>
      <c r="B29" s="9" t="s">
        <v>1562</v>
      </c>
      <c r="C29" s="9" t="s">
        <v>1563</v>
      </c>
      <c r="D29" s="9" t="s">
        <v>1564</v>
      </c>
      <c r="E29" s="9" t="s">
        <v>1565</v>
      </c>
      <c r="F29" s="8"/>
      <c r="G29" s="8" t="s">
        <v>1275</v>
      </c>
      <c r="H29" s="8"/>
      <c r="I29" s="8" t="s">
        <v>1461</v>
      </c>
      <c r="J29" s="8" t="s">
        <v>93</v>
      </c>
      <c r="K29" s="8" t="s">
        <v>913</v>
      </c>
      <c r="L29" s="9"/>
      <c r="M29" s="9"/>
      <c r="N29" s="20"/>
      <c r="O29" s="20"/>
    </row>
  </sheetData>
  <mergeCells count="8">
    <mergeCell ref="A28:M28"/>
    <mergeCell ref="A2:M2"/>
    <mergeCell ref="A12:M12"/>
    <mergeCell ref="A3:M3"/>
    <mergeCell ref="A16:M16"/>
    <mergeCell ref="A7:M7"/>
    <mergeCell ref="A25:M25"/>
    <mergeCell ref="A19:M19"/>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4"/>
  <sheetViews>
    <sheetView workbookViewId="0">
      <pane ySplit="2" topLeftCell="A3" activePane="bottomLeft" state="frozen"/>
      <selection pane="bottomLeft" activeCell="H4" sqref="H4"/>
    </sheetView>
  </sheetViews>
  <sheetFormatPr defaultRowHeight="15"/>
  <cols>
    <col min="1" max="1" width="12" customWidth="1"/>
    <col min="2" max="2" width="42" customWidth="1"/>
    <col min="3" max="3" width="30" customWidth="1"/>
    <col min="4" max="4" width="26" customWidth="1"/>
    <col min="5" max="6" width="34" customWidth="1"/>
    <col min="7" max="7" width="10" customWidth="1"/>
    <col min="8" max="8" width="14" customWidth="1"/>
    <col min="9" max="9" width="10" customWidth="1"/>
    <col min="10" max="10" width="12" customWidth="1"/>
    <col min="11" max="11" width="9" customWidth="1"/>
    <col min="12" max="12" width="10" customWidth="1"/>
    <col min="13" max="13" width="22" customWidth="1"/>
    <col min="14" max="14" width="16" customWidth="1"/>
    <col min="15" max="15" width="14" customWidth="1"/>
    <col min="16" max="16" width="46" customWidth="1"/>
  </cols>
  <sheetData>
    <row r="1" spans="1:16" ht="27.95" customHeight="1">
      <c r="A1" s="7" t="s">
        <v>45</v>
      </c>
      <c r="B1" s="7" t="s">
        <v>46</v>
      </c>
      <c r="C1" s="7" t="s">
        <v>1566</v>
      </c>
      <c r="D1" s="7" t="s">
        <v>47</v>
      </c>
      <c r="E1" s="7" t="s">
        <v>48</v>
      </c>
      <c r="F1" s="7" t="s">
        <v>49</v>
      </c>
      <c r="G1" s="7" t="s">
        <v>50</v>
      </c>
      <c r="H1" s="7" t="s">
        <v>935</v>
      </c>
      <c r="I1" s="7" t="s">
        <v>52</v>
      </c>
      <c r="J1" s="7" t="s">
        <v>53</v>
      </c>
      <c r="K1" s="7" t="s">
        <v>54</v>
      </c>
      <c r="L1" s="7" t="s">
        <v>55</v>
      </c>
      <c r="M1" s="7" t="s">
        <v>936</v>
      </c>
      <c r="N1" s="7" t="s">
        <v>56</v>
      </c>
      <c r="O1" s="23"/>
      <c r="P1" s="23"/>
    </row>
    <row r="2" spans="1:16" ht="42" customHeight="1">
      <c r="A2" s="26" t="s">
        <v>59</v>
      </c>
      <c r="B2" s="27"/>
      <c r="C2" s="27"/>
      <c r="D2" s="27"/>
      <c r="E2" s="27"/>
      <c r="F2" s="27"/>
      <c r="G2" s="27"/>
      <c r="H2" s="27"/>
      <c r="I2" s="27"/>
      <c r="J2" s="27"/>
      <c r="K2" s="27"/>
      <c r="L2" s="27"/>
      <c r="M2" s="27"/>
      <c r="N2" s="27"/>
    </row>
    <row r="3" spans="1:16" ht="20.100000000000001" customHeight="1">
      <c r="A3" s="30" t="s">
        <v>1567</v>
      </c>
      <c r="B3" s="28"/>
      <c r="C3" s="28"/>
      <c r="D3" s="28"/>
      <c r="E3" s="28"/>
      <c r="F3" s="28"/>
      <c r="G3" s="28"/>
      <c r="H3" s="28"/>
      <c r="I3" s="28"/>
      <c r="J3" s="28"/>
      <c r="K3" s="28"/>
      <c r="L3" s="28"/>
      <c r="M3" s="28"/>
      <c r="N3" s="29"/>
    </row>
    <row r="4" spans="1:16" ht="60" customHeight="1">
      <c r="A4" s="8" t="s">
        <v>1568</v>
      </c>
      <c r="B4" s="9" t="s">
        <v>1569</v>
      </c>
      <c r="C4" s="9" t="s">
        <v>1570</v>
      </c>
      <c r="D4" s="9" t="s">
        <v>1571</v>
      </c>
      <c r="E4" s="9" t="s">
        <v>1572</v>
      </c>
      <c r="F4" s="9" t="s">
        <v>1573</v>
      </c>
      <c r="G4" s="8"/>
      <c r="H4" s="8" t="s">
        <v>1275</v>
      </c>
      <c r="I4" s="8"/>
      <c r="J4" s="8" t="s">
        <v>67</v>
      </c>
      <c r="K4" s="8" t="s">
        <v>68</v>
      </c>
      <c r="L4" s="8" t="s">
        <v>306</v>
      </c>
      <c r="M4" s="9"/>
      <c r="N4" s="9"/>
      <c r="O4" s="20"/>
      <c r="P4" s="20"/>
    </row>
    <row r="5" spans="1:16" ht="60" customHeight="1">
      <c r="A5" s="8" t="s">
        <v>1574</v>
      </c>
      <c r="B5" s="9" t="s">
        <v>1575</v>
      </c>
      <c r="C5" s="9" t="s">
        <v>1576</v>
      </c>
      <c r="D5" s="9" t="s">
        <v>1577</v>
      </c>
      <c r="E5" s="9" t="s">
        <v>1578</v>
      </c>
      <c r="F5" s="9" t="s">
        <v>1579</v>
      </c>
      <c r="G5" s="8"/>
      <c r="H5" s="8" t="s">
        <v>1275</v>
      </c>
      <c r="I5" s="8"/>
      <c r="J5" s="8" t="s">
        <v>92</v>
      </c>
      <c r="K5" s="8" t="s">
        <v>85</v>
      </c>
      <c r="L5" s="8" t="s">
        <v>306</v>
      </c>
      <c r="M5" s="9"/>
      <c r="N5" s="9"/>
      <c r="O5" s="20"/>
      <c r="P5" s="20"/>
    </row>
    <row r="6" spans="1:16" ht="60" customHeight="1">
      <c r="A6" s="8" t="s">
        <v>1580</v>
      </c>
      <c r="B6" s="9" t="s">
        <v>1581</v>
      </c>
      <c r="C6" s="9" t="s">
        <v>1582</v>
      </c>
      <c r="D6" s="9" t="s">
        <v>1583</v>
      </c>
      <c r="E6" s="9" t="s">
        <v>1584</v>
      </c>
      <c r="F6" s="9" t="s">
        <v>1585</v>
      </c>
      <c r="G6" s="8"/>
      <c r="H6" s="8" t="s">
        <v>1275</v>
      </c>
      <c r="I6" s="8"/>
      <c r="J6" s="8" t="s">
        <v>92</v>
      </c>
      <c r="K6" s="8" t="s">
        <v>68</v>
      </c>
      <c r="L6" s="8" t="s">
        <v>69</v>
      </c>
      <c r="M6" s="9"/>
      <c r="N6" s="9"/>
      <c r="O6" s="20"/>
      <c r="P6" s="20"/>
    </row>
    <row r="7" spans="1:16" ht="60" customHeight="1">
      <c r="A7" s="8" t="s">
        <v>1586</v>
      </c>
      <c r="B7" s="9" t="s">
        <v>1587</v>
      </c>
      <c r="C7" s="9" t="s">
        <v>1588</v>
      </c>
      <c r="D7" s="9" t="s">
        <v>1589</v>
      </c>
      <c r="E7" s="9" t="s">
        <v>1590</v>
      </c>
      <c r="F7" s="9" t="s">
        <v>1591</v>
      </c>
      <c r="G7" s="8"/>
      <c r="H7" s="8" t="s">
        <v>1275</v>
      </c>
      <c r="I7" s="8"/>
      <c r="J7" s="8" t="s">
        <v>92</v>
      </c>
      <c r="K7" s="8" t="s">
        <v>85</v>
      </c>
      <c r="L7" s="8" t="s">
        <v>306</v>
      </c>
      <c r="M7" s="9"/>
      <c r="N7" s="9"/>
      <c r="O7" s="20"/>
      <c r="P7" s="20"/>
    </row>
    <row r="8" spans="1:16" ht="60" customHeight="1">
      <c r="A8" s="8" t="s">
        <v>1592</v>
      </c>
      <c r="B8" s="9" t="s">
        <v>1593</v>
      </c>
      <c r="C8" s="9" t="s">
        <v>1594</v>
      </c>
      <c r="D8" s="9" t="s">
        <v>1595</v>
      </c>
      <c r="E8" s="9" t="s">
        <v>1596</v>
      </c>
      <c r="F8" s="9" t="s">
        <v>1597</v>
      </c>
      <c r="G8" s="8"/>
      <c r="H8" s="8" t="s">
        <v>1275</v>
      </c>
      <c r="I8" s="8"/>
      <c r="J8" s="8" t="s">
        <v>1598</v>
      </c>
      <c r="K8" s="8" t="s">
        <v>93</v>
      </c>
      <c r="L8" s="8" t="s">
        <v>913</v>
      </c>
      <c r="M8" s="9"/>
      <c r="N8" s="9"/>
      <c r="O8" s="20"/>
      <c r="P8" s="20"/>
    </row>
    <row r="9" spans="1:16" ht="20.100000000000001" customHeight="1">
      <c r="A9" s="30" t="s">
        <v>1599</v>
      </c>
      <c r="B9" s="28"/>
      <c r="C9" s="28"/>
      <c r="D9" s="28"/>
      <c r="E9" s="28"/>
      <c r="F9" s="28"/>
      <c r="G9" s="28"/>
      <c r="H9" s="28"/>
      <c r="I9" s="28"/>
      <c r="J9" s="28"/>
      <c r="K9" s="28"/>
      <c r="L9" s="28"/>
      <c r="M9" s="28"/>
      <c r="N9" s="29"/>
    </row>
    <row r="10" spans="1:16" ht="60" customHeight="1">
      <c r="A10" s="8" t="s">
        <v>1600</v>
      </c>
      <c r="B10" s="9" t="s">
        <v>1601</v>
      </c>
      <c r="C10" s="9" t="s">
        <v>1602</v>
      </c>
      <c r="D10" s="9" t="s">
        <v>1603</v>
      </c>
      <c r="E10" s="9" t="s">
        <v>1604</v>
      </c>
      <c r="F10" s="9" t="s">
        <v>1605</v>
      </c>
      <c r="G10" s="8"/>
      <c r="H10" s="8" t="s">
        <v>1275</v>
      </c>
      <c r="I10" s="8"/>
      <c r="J10" s="8" t="s">
        <v>92</v>
      </c>
      <c r="K10" s="8" t="s">
        <v>68</v>
      </c>
      <c r="L10" s="8" t="s">
        <v>69</v>
      </c>
      <c r="M10" s="9"/>
      <c r="N10" s="9"/>
      <c r="O10" s="20"/>
      <c r="P10" s="20"/>
    </row>
    <row r="11" spans="1:16" ht="60" customHeight="1">
      <c r="A11" s="8" t="s">
        <v>1606</v>
      </c>
      <c r="B11" s="9" t="s">
        <v>1607</v>
      </c>
      <c r="C11" s="9" t="s">
        <v>1608</v>
      </c>
      <c r="D11" s="9" t="s">
        <v>1609</v>
      </c>
      <c r="E11" s="9" t="s">
        <v>1610</v>
      </c>
      <c r="F11" s="9" t="s">
        <v>1611</v>
      </c>
      <c r="G11" s="8"/>
      <c r="H11" s="8" t="s">
        <v>1275</v>
      </c>
      <c r="I11" s="8"/>
      <c r="J11" s="8" t="s">
        <v>92</v>
      </c>
      <c r="K11" s="8" t="s">
        <v>93</v>
      </c>
      <c r="L11" s="8" t="s">
        <v>913</v>
      </c>
      <c r="M11" s="9"/>
      <c r="N11" s="9"/>
      <c r="O11" s="20"/>
      <c r="P11" s="20"/>
    </row>
    <row r="12" spans="1:16" ht="60" customHeight="1">
      <c r="A12" s="8" t="s">
        <v>1612</v>
      </c>
      <c r="B12" s="9" t="s">
        <v>1613</v>
      </c>
      <c r="C12" s="9" t="s">
        <v>1614</v>
      </c>
      <c r="D12" s="9" t="s">
        <v>1615</v>
      </c>
      <c r="E12" s="9" t="s">
        <v>1616</v>
      </c>
      <c r="F12" s="9" t="s">
        <v>1617</v>
      </c>
      <c r="G12" s="8"/>
      <c r="H12" s="8" t="s">
        <v>1275</v>
      </c>
      <c r="I12" s="8"/>
      <c r="J12" s="8" t="s">
        <v>92</v>
      </c>
      <c r="K12" s="8" t="s">
        <v>85</v>
      </c>
      <c r="L12" s="8" t="s">
        <v>306</v>
      </c>
      <c r="M12" s="9"/>
      <c r="N12" s="9"/>
      <c r="O12" s="20"/>
      <c r="P12" s="20"/>
    </row>
    <row r="13" spans="1:16" ht="60" customHeight="1">
      <c r="A13" s="8" t="s">
        <v>1618</v>
      </c>
      <c r="B13" s="9" t="s">
        <v>1619</v>
      </c>
      <c r="C13" s="9" t="s">
        <v>1620</v>
      </c>
      <c r="D13" s="9" t="s">
        <v>1621</v>
      </c>
      <c r="E13" s="9" t="s">
        <v>1622</v>
      </c>
      <c r="F13" s="9" t="s">
        <v>1623</v>
      </c>
      <c r="G13" s="8"/>
      <c r="H13" s="8" t="s">
        <v>1275</v>
      </c>
      <c r="I13" s="8"/>
      <c r="J13" s="8" t="s">
        <v>92</v>
      </c>
      <c r="K13" s="8" t="s">
        <v>68</v>
      </c>
      <c r="L13" s="8" t="s">
        <v>69</v>
      </c>
      <c r="M13" s="9"/>
      <c r="N13" s="9"/>
      <c r="O13" s="20"/>
      <c r="P13" s="20"/>
    </row>
    <row r="14" spans="1:16" ht="60" customHeight="1">
      <c r="A14" s="8" t="s">
        <v>1624</v>
      </c>
      <c r="B14" s="9" t="s">
        <v>1625</v>
      </c>
      <c r="C14" s="9" t="s">
        <v>1626</v>
      </c>
      <c r="D14" s="9" t="s">
        <v>1627</v>
      </c>
      <c r="E14" s="9" t="s">
        <v>1628</v>
      </c>
      <c r="F14" s="9" t="s">
        <v>1629</v>
      </c>
      <c r="G14" s="8"/>
      <c r="H14" s="8" t="s">
        <v>1275</v>
      </c>
      <c r="I14" s="8"/>
      <c r="J14" s="8" t="s">
        <v>1598</v>
      </c>
      <c r="K14" s="8" t="s">
        <v>68</v>
      </c>
      <c r="L14" s="8" t="s">
        <v>69</v>
      </c>
      <c r="M14" s="9"/>
      <c r="N14" s="9"/>
      <c r="O14" s="20"/>
      <c r="P14" s="20"/>
    </row>
    <row r="15" spans="1:16" ht="20.100000000000001" customHeight="1">
      <c r="A15" s="30" t="s">
        <v>1630</v>
      </c>
      <c r="B15" s="28"/>
      <c r="C15" s="28"/>
      <c r="D15" s="28"/>
      <c r="E15" s="28"/>
      <c r="F15" s="28"/>
      <c r="G15" s="28"/>
      <c r="H15" s="28"/>
      <c r="I15" s="28"/>
      <c r="J15" s="28"/>
      <c r="K15" s="28"/>
      <c r="L15" s="28"/>
      <c r="M15" s="28"/>
      <c r="N15" s="29"/>
    </row>
    <row r="16" spans="1:16" ht="60" customHeight="1">
      <c r="A16" s="8" t="s">
        <v>1631</v>
      </c>
      <c r="B16" s="9" t="s">
        <v>1632</v>
      </c>
      <c r="C16" s="9" t="s">
        <v>1633</v>
      </c>
      <c r="D16" s="9" t="s">
        <v>1634</v>
      </c>
      <c r="E16" s="9" t="s">
        <v>1635</v>
      </c>
      <c r="F16" s="9" t="s">
        <v>1636</v>
      </c>
      <c r="G16" s="8"/>
      <c r="H16" s="8" t="s">
        <v>1275</v>
      </c>
      <c r="I16" s="8"/>
      <c r="J16" s="8" t="s">
        <v>92</v>
      </c>
      <c r="K16" s="8" t="s">
        <v>68</v>
      </c>
      <c r="L16" s="8" t="s">
        <v>69</v>
      </c>
      <c r="M16" s="9"/>
      <c r="N16" s="9"/>
      <c r="O16" s="20"/>
      <c r="P16" s="20"/>
    </row>
    <row r="17" spans="1:16" ht="60" customHeight="1">
      <c r="A17" s="8" t="s">
        <v>1637</v>
      </c>
      <c r="B17" s="9" t="s">
        <v>1638</v>
      </c>
      <c r="C17" s="9" t="s">
        <v>1639</v>
      </c>
      <c r="D17" s="9" t="s">
        <v>1640</v>
      </c>
      <c r="E17" s="9" t="s">
        <v>1641</v>
      </c>
      <c r="F17" s="9" t="s">
        <v>1642</v>
      </c>
      <c r="G17" s="8"/>
      <c r="H17" s="8" t="s">
        <v>1275</v>
      </c>
      <c r="I17" s="8"/>
      <c r="J17" s="8" t="s">
        <v>92</v>
      </c>
      <c r="K17" s="8" t="s">
        <v>68</v>
      </c>
      <c r="L17" s="8" t="s">
        <v>69</v>
      </c>
      <c r="M17" s="9"/>
      <c r="N17" s="9"/>
      <c r="O17" s="20"/>
      <c r="P17" s="20"/>
    </row>
    <row r="18" spans="1:16" ht="60" customHeight="1">
      <c r="A18" s="8" t="s">
        <v>1643</v>
      </c>
      <c r="B18" s="9" t="s">
        <v>1644</v>
      </c>
      <c r="C18" s="9" t="s">
        <v>1645</v>
      </c>
      <c r="D18" s="9" t="s">
        <v>1646</v>
      </c>
      <c r="E18" s="9" t="s">
        <v>1647</v>
      </c>
      <c r="F18" s="9" t="s">
        <v>1648</v>
      </c>
      <c r="G18" s="8"/>
      <c r="H18" s="8" t="s">
        <v>1275</v>
      </c>
      <c r="I18" s="8"/>
      <c r="J18" s="8" t="s">
        <v>92</v>
      </c>
      <c r="K18" s="8" t="s">
        <v>68</v>
      </c>
      <c r="L18" s="8" t="s">
        <v>69</v>
      </c>
      <c r="M18" s="9"/>
      <c r="N18" s="9"/>
      <c r="O18" s="20"/>
      <c r="P18" s="20"/>
    </row>
    <row r="19" spans="1:16" ht="60" customHeight="1">
      <c r="A19" s="8" t="s">
        <v>1649</v>
      </c>
      <c r="B19" s="9" t="s">
        <v>1650</v>
      </c>
      <c r="C19" s="9" t="s">
        <v>1651</v>
      </c>
      <c r="D19" s="9" t="s">
        <v>1652</v>
      </c>
      <c r="E19" s="9" t="s">
        <v>1653</v>
      </c>
      <c r="F19" s="9" t="s">
        <v>1654</v>
      </c>
      <c r="G19" s="8"/>
      <c r="H19" s="8" t="s">
        <v>1275</v>
      </c>
      <c r="I19" s="8"/>
      <c r="J19" s="8" t="s">
        <v>92</v>
      </c>
      <c r="K19" s="8" t="s">
        <v>68</v>
      </c>
      <c r="L19" s="8" t="s">
        <v>69</v>
      </c>
      <c r="M19" s="9"/>
      <c r="N19" s="9"/>
      <c r="O19" s="20"/>
      <c r="P19" s="20"/>
    </row>
    <row r="20" spans="1:16" ht="60" customHeight="1">
      <c r="A20" s="8" t="s">
        <v>1655</v>
      </c>
      <c r="B20" s="9" t="s">
        <v>1656</v>
      </c>
      <c r="C20" s="9" t="s">
        <v>1657</v>
      </c>
      <c r="D20" s="9" t="s">
        <v>1658</v>
      </c>
      <c r="E20" s="9" t="s">
        <v>1659</v>
      </c>
      <c r="F20" s="9" t="s">
        <v>1660</v>
      </c>
      <c r="G20" s="8"/>
      <c r="H20" s="8" t="s">
        <v>1275</v>
      </c>
      <c r="I20" s="8"/>
      <c r="J20" s="8" t="s">
        <v>1661</v>
      </c>
      <c r="K20" s="8" t="s">
        <v>85</v>
      </c>
      <c r="L20" s="8" t="s">
        <v>306</v>
      </c>
      <c r="M20" s="9"/>
      <c r="N20" s="9"/>
      <c r="O20" s="20"/>
      <c r="P20" s="20"/>
    </row>
    <row r="21" spans="1:16" ht="20.100000000000001" customHeight="1">
      <c r="A21" s="30" t="s">
        <v>1662</v>
      </c>
      <c r="B21" s="28"/>
      <c r="C21" s="28"/>
      <c r="D21" s="28"/>
      <c r="E21" s="28"/>
      <c r="F21" s="28"/>
      <c r="G21" s="28"/>
      <c r="H21" s="28"/>
      <c r="I21" s="28"/>
      <c r="J21" s="28"/>
      <c r="K21" s="28"/>
      <c r="L21" s="28"/>
      <c r="M21" s="28"/>
      <c r="N21" s="29"/>
    </row>
    <row r="22" spans="1:16" ht="60" customHeight="1">
      <c r="A22" s="8" t="s">
        <v>1663</v>
      </c>
      <c r="B22" s="9" t="s">
        <v>1664</v>
      </c>
      <c r="C22" s="9" t="s">
        <v>1665</v>
      </c>
      <c r="D22" s="9" t="s">
        <v>1666</v>
      </c>
      <c r="E22" s="9" t="s">
        <v>1667</v>
      </c>
      <c r="F22" s="9" t="s">
        <v>1668</v>
      </c>
      <c r="G22" s="8"/>
      <c r="H22" s="8" t="s">
        <v>1275</v>
      </c>
      <c r="I22" s="8"/>
      <c r="J22" s="8" t="s">
        <v>92</v>
      </c>
      <c r="K22" s="8" t="s">
        <v>68</v>
      </c>
      <c r="L22" s="8" t="s">
        <v>69</v>
      </c>
      <c r="M22" s="9"/>
      <c r="N22" s="9"/>
      <c r="O22" s="20"/>
      <c r="P22" s="20"/>
    </row>
    <row r="23" spans="1:16" ht="60" customHeight="1">
      <c r="A23" s="8" t="s">
        <v>1669</v>
      </c>
      <c r="B23" s="9" t="s">
        <v>1670</v>
      </c>
      <c r="C23" s="9" t="s">
        <v>1671</v>
      </c>
      <c r="D23" s="9" t="s">
        <v>1672</v>
      </c>
      <c r="E23" s="9" t="s">
        <v>1673</v>
      </c>
      <c r="F23" s="9" t="s">
        <v>1674</v>
      </c>
      <c r="G23" s="8"/>
      <c r="H23" s="8" t="s">
        <v>1275</v>
      </c>
      <c r="I23" s="8"/>
      <c r="J23" s="8" t="s">
        <v>1675</v>
      </c>
      <c r="K23" s="8" t="s">
        <v>68</v>
      </c>
      <c r="L23" s="8" t="s">
        <v>69</v>
      </c>
      <c r="M23" s="9"/>
      <c r="N23" s="9"/>
      <c r="O23" s="20"/>
      <c r="P23" s="20"/>
    </row>
    <row r="24" spans="1:16" ht="20.100000000000001" customHeight="1">
      <c r="A24" s="30" t="s">
        <v>1676</v>
      </c>
      <c r="B24" s="28"/>
      <c r="C24" s="28"/>
      <c r="D24" s="28"/>
      <c r="E24" s="28"/>
      <c r="F24" s="28"/>
      <c r="G24" s="28"/>
      <c r="H24" s="28"/>
      <c r="I24" s="28"/>
      <c r="J24" s="28"/>
      <c r="K24" s="28"/>
      <c r="L24" s="28"/>
      <c r="M24" s="28"/>
      <c r="N24" s="29"/>
    </row>
    <row r="25" spans="1:16" ht="60" customHeight="1">
      <c r="A25" s="8" t="s">
        <v>1677</v>
      </c>
      <c r="B25" s="9" t="s">
        <v>1678</v>
      </c>
      <c r="C25" s="9" t="s">
        <v>1679</v>
      </c>
      <c r="D25" s="9" t="s">
        <v>1680</v>
      </c>
      <c r="E25" s="9" t="s">
        <v>1681</v>
      </c>
      <c r="F25" s="9" t="s">
        <v>1682</v>
      </c>
      <c r="G25" s="8"/>
      <c r="H25" s="8" t="s">
        <v>1275</v>
      </c>
      <c r="I25" s="8"/>
      <c r="J25" s="8" t="s">
        <v>92</v>
      </c>
      <c r="K25" s="8" t="s">
        <v>68</v>
      </c>
      <c r="L25" s="8" t="s">
        <v>69</v>
      </c>
      <c r="M25" s="9"/>
      <c r="N25" s="9"/>
      <c r="O25" s="20"/>
      <c r="P25" s="20"/>
    </row>
    <row r="26" spans="1:16" ht="60" customHeight="1">
      <c r="A26" s="8" t="s">
        <v>1683</v>
      </c>
      <c r="B26" s="9" t="s">
        <v>1684</v>
      </c>
      <c r="C26" s="9" t="s">
        <v>1685</v>
      </c>
      <c r="D26" s="9" t="s">
        <v>1686</v>
      </c>
      <c r="E26" s="9" t="s">
        <v>1687</v>
      </c>
      <c r="F26" s="9" t="s">
        <v>1688</v>
      </c>
      <c r="G26" s="8"/>
      <c r="H26" s="8" t="s">
        <v>1275</v>
      </c>
      <c r="I26" s="8"/>
      <c r="J26" s="8" t="s">
        <v>67</v>
      </c>
      <c r="K26" s="8" t="s">
        <v>68</v>
      </c>
      <c r="L26" s="8" t="s">
        <v>69</v>
      </c>
      <c r="M26" s="9"/>
      <c r="N26" s="9"/>
      <c r="O26" s="20"/>
      <c r="P26" s="20"/>
    </row>
    <row r="27" spans="1:16" ht="60" customHeight="1">
      <c r="A27" s="8" t="s">
        <v>1689</v>
      </c>
      <c r="B27" s="9" t="s">
        <v>1690</v>
      </c>
      <c r="C27" s="9" t="s">
        <v>1691</v>
      </c>
      <c r="D27" s="9" t="s">
        <v>1692</v>
      </c>
      <c r="E27" s="9" t="s">
        <v>1693</v>
      </c>
      <c r="F27" s="9" t="s">
        <v>1694</v>
      </c>
      <c r="G27" s="8"/>
      <c r="H27" s="8" t="s">
        <v>1275</v>
      </c>
      <c r="I27" s="8"/>
      <c r="J27" s="8" t="s">
        <v>92</v>
      </c>
      <c r="K27" s="8" t="s">
        <v>68</v>
      </c>
      <c r="L27" s="8" t="s">
        <v>69</v>
      </c>
      <c r="M27" s="9"/>
      <c r="N27" s="9"/>
      <c r="O27" s="20"/>
      <c r="P27" s="20"/>
    </row>
    <row r="28" spans="1:16" ht="60" customHeight="1">
      <c r="A28" s="8" t="s">
        <v>1695</v>
      </c>
      <c r="B28" s="9" t="s">
        <v>1696</v>
      </c>
      <c r="C28" s="9" t="s">
        <v>1697</v>
      </c>
      <c r="D28" s="9" t="s">
        <v>1698</v>
      </c>
      <c r="E28" s="9" t="s">
        <v>1699</v>
      </c>
      <c r="F28" s="9" t="s">
        <v>1700</v>
      </c>
      <c r="G28" s="8"/>
      <c r="H28" s="8" t="s">
        <v>1275</v>
      </c>
      <c r="I28" s="8"/>
      <c r="J28" s="8" t="s">
        <v>67</v>
      </c>
      <c r="K28" s="8" t="s">
        <v>85</v>
      </c>
      <c r="L28" s="8" t="s">
        <v>306</v>
      </c>
      <c r="M28" s="9"/>
      <c r="N28" s="9"/>
      <c r="O28" s="20"/>
      <c r="P28" s="20"/>
    </row>
    <row r="29" spans="1:16" ht="20.100000000000001" customHeight="1">
      <c r="A29" s="30" t="s">
        <v>1701</v>
      </c>
      <c r="B29" s="28"/>
      <c r="C29" s="28"/>
      <c r="D29" s="28"/>
      <c r="E29" s="28"/>
      <c r="F29" s="28"/>
      <c r="G29" s="28"/>
      <c r="H29" s="28"/>
      <c r="I29" s="28"/>
      <c r="J29" s="28"/>
      <c r="K29" s="28"/>
      <c r="L29" s="28"/>
      <c r="M29" s="28"/>
      <c r="N29" s="29"/>
    </row>
    <row r="30" spans="1:16" ht="60" customHeight="1">
      <c r="A30" s="8" t="s">
        <v>1702</v>
      </c>
      <c r="B30" s="9" t="s">
        <v>1703</v>
      </c>
      <c r="C30" s="9" t="s">
        <v>1704</v>
      </c>
      <c r="D30" s="9" t="s">
        <v>1705</v>
      </c>
      <c r="E30" s="9" t="s">
        <v>1706</v>
      </c>
      <c r="F30" s="9" t="s">
        <v>1707</v>
      </c>
      <c r="G30" s="8"/>
      <c r="H30" s="8" t="s">
        <v>1275</v>
      </c>
      <c r="I30" s="8"/>
      <c r="J30" s="8" t="s">
        <v>1598</v>
      </c>
      <c r="K30" s="8" t="s">
        <v>68</v>
      </c>
      <c r="L30" s="8" t="s">
        <v>69</v>
      </c>
      <c r="M30" s="9"/>
      <c r="N30" s="9"/>
      <c r="O30" s="20"/>
      <c r="P30" s="20"/>
    </row>
    <row r="31" spans="1:16" ht="60" customHeight="1">
      <c r="A31" s="8" t="s">
        <v>1708</v>
      </c>
      <c r="B31" s="9" t="s">
        <v>1709</v>
      </c>
      <c r="C31" s="9" t="s">
        <v>1710</v>
      </c>
      <c r="D31" s="9" t="s">
        <v>1711</v>
      </c>
      <c r="E31" s="9" t="s">
        <v>1712</v>
      </c>
      <c r="F31" s="9" t="s">
        <v>1713</v>
      </c>
      <c r="G31" s="8"/>
      <c r="H31" s="8" t="s">
        <v>1275</v>
      </c>
      <c r="I31" s="8"/>
      <c r="J31" s="8" t="s">
        <v>1598</v>
      </c>
      <c r="K31" s="8" t="s">
        <v>85</v>
      </c>
      <c r="L31" s="8" t="s">
        <v>306</v>
      </c>
      <c r="M31" s="9"/>
      <c r="N31" s="9"/>
      <c r="O31" s="20"/>
      <c r="P31" s="20"/>
    </row>
    <row r="32" spans="1:16" ht="20.100000000000001" customHeight="1">
      <c r="A32" s="30" t="s">
        <v>1714</v>
      </c>
      <c r="B32" s="28"/>
      <c r="C32" s="28"/>
      <c r="D32" s="28"/>
      <c r="E32" s="28"/>
      <c r="F32" s="28"/>
      <c r="G32" s="28"/>
      <c r="H32" s="28"/>
      <c r="I32" s="28"/>
      <c r="J32" s="28"/>
      <c r="K32" s="28"/>
      <c r="L32" s="28"/>
      <c r="M32" s="28"/>
      <c r="N32" s="29"/>
    </row>
    <row r="33" spans="1:16" ht="60" customHeight="1">
      <c r="A33" s="8" t="s">
        <v>1715</v>
      </c>
      <c r="B33" s="9" t="s">
        <v>1716</v>
      </c>
      <c r="C33" s="9" t="s">
        <v>1717</v>
      </c>
      <c r="D33" s="9" t="s">
        <v>1718</v>
      </c>
      <c r="E33" s="9" t="s">
        <v>1719</v>
      </c>
      <c r="F33" s="9" t="s">
        <v>1720</v>
      </c>
      <c r="G33" s="8"/>
      <c r="H33" s="8" t="s">
        <v>1275</v>
      </c>
      <c r="I33" s="8"/>
      <c r="J33" s="8" t="s">
        <v>1721</v>
      </c>
      <c r="K33" s="8" t="s">
        <v>85</v>
      </c>
      <c r="L33" s="8" t="s">
        <v>69</v>
      </c>
      <c r="M33" s="9"/>
      <c r="N33" s="9"/>
      <c r="O33" s="20"/>
      <c r="P33" s="20"/>
    </row>
    <row r="34" spans="1:16" ht="60" customHeight="1">
      <c r="A34" s="8" t="s">
        <v>1722</v>
      </c>
      <c r="B34" s="9" t="s">
        <v>1723</v>
      </c>
      <c r="C34" s="9" t="s">
        <v>1724</v>
      </c>
      <c r="D34" s="9" t="s">
        <v>1725</v>
      </c>
      <c r="E34" s="9" t="s">
        <v>1726</v>
      </c>
      <c r="F34" s="9" t="s">
        <v>1727</v>
      </c>
      <c r="G34" s="8"/>
      <c r="H34" s="8" t="s">
        <v>1275</v>
      </c>
      <c r="I34" s="8"/>
      <c r="J34" s="8" t="s">
        <v>92</v>
      </c>
      <c r="K34" s="8" t="s">
        <v>85</v>
      </c>
      <c r="L34" s="8" t="s">
        <v>306</v>
      </c>
      <c r="M34" s="9"/>
      <c r="N34" s="9"/>
      <c r="O34" s="20"/>
      <c r="P34" s="20"/>
    </row>
  </sheetData>
  <mergeCells count="8">
    <mergeCell ref="A2:N2"/>
    <mergeCell ref="A15:N15"/>
    <mergeCell ref="A32:N32"/>
    <mergeCell ref="A9:N9"/>
    <mergeCell ref="A3:N3"/>
    <mergeCell ref="A21:N21"/>
    <mergeCell ref="A29:N29"/>
    <mergeCell ref="A24:N2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15"/>
  <sheetViews>
    <sheetView tabSelected="1" workbookViewId="0"/>
  </sheetViews>
  <sheetFormatPr defaultRowHeight="15"/>
  <cols>
    <col min="1" max="1" width="12" customWidth="1"/>
    <col min="2" max="2" width="42" customWidth="1"/>
    <col min="3" max="3" width="30" customWidth="1"/>
    <col min="4" max="4" width="26" customWidth="1"/>
    <col min="5" max="5" width="34" customWidth="1"/>
    <col min="6" max="6" width="13" customWidth="1"/>
    <col min="7" max="7" width="30" customWidth="1"/>
    <col min="8" max="8" width="10" customWidth="1"/>
    <col min="9" max="9" width="14" customWidth="1"/>
    <col min="10" max="10" width="10" customWidth="1"/>
    <col min="11" max="11" width="34" customWidth="1"/>
    <col min="12" max="12" width="12" customWidth="1"/>
    <col min="13" max="13" width="9" customWidth="1"/>
    <col min="14" max="14" width="10" customWidth="1"/>
    <col min="15" max="15" width="22" customWidth="1"/>
    <col min="16" max="16" width="16" customWidth="1"/>
    <col min="17" max="17" width="14" customWidth="1"/>
    <col min="18" max="18" width="46" customWidth="1"/>
  </cols>
  <sheetData>
    <row r="1" spans="1:18" ht="27.95" customHeight="1">
      <c r="A1" s="17" t="s">
        <v>45</v>
      </c>
      <c r="B1" s="17" t="s">
        <v>46</v>
      </c>
      <c r="C1" s="17" t="s">
        <v>1566</v>
      </c>
      <c r="D1" s="17" t="s">
        <v>47</v>
      </c>
      <c r="E1" s="17" t="s">
        <v>48</v>
      </c>
      <c r="F1" s="17" t="s">
        <v>49</v>
      </c>
      <c r="G1" s="17" t="s">
        <v>1728</v>
      </c>
      <c r="H1" s="17" t="s">
        <v>50</v>
      </c>
      <c r="I1" s="17" t="s">
        <v>935</v>
      </c>
      <c r="J1" s="17" t="s">
        <v>52</v>
      </c>
      <c r="K1" s="17" t="s">
        <v>1729</v>
      </c>
      <c r="L1" s="17" t="s">
        <v>53</v>
      </c>
      <c r="M1" s="17" t="s">
        <v>54</v>
      </c>
      <c r="N1" s="17" t="s">
        <v>55</v>
      </c>
      <c r="O1" s="17" t="s">
        <v>936</v>
      </c>
      <c r="P1" s="17" t="s">
        <v>56</v>
      </c>
      <c r="Q1" s="17" t="s">
        <v>57</v>
      </c>
      <c r="R1" s="17" t="s">
        <v>58</v>
      </c>
    </row>
    <row r="2" spans="1:18" ht="42" customHeight="1">
      <c r="A2" s="18" t="s">
        <v>1730</v>
      </c>
    </row>
    <row r="3" spans="1:18">
      <c r="A3" s="19" t="s">
        <v>1731</v>
      </c>
      <c r="B3" s="19"/>
      <c r="C3" s="19"/>
      <c r="D3" s="19"/>
      <c r="E3" s="19"/>
      <c r="F3" s="19"/>
      <c r="G3" s="19"/>
      <c r="H3" s="19"/>
      <c r="I3" s="19"/>
      <c r="J3" s="19"/>
      <c r="K3" s="19"/>
      <c r="L3" s="19"/>
      <c r="M3" s="19"/>
      <c r="N3" s="19"/>
      <c r="O3" s="19"/>
      <c r="P3" s="19"/>
    </row>
    <row r="4" spans="1:18" ht="60" customHeight="1">
      <c r="A4" s="20" t="s">
        <v>1732</v>
      </c>
      <c r="B4" s="20" t="s">
        <v>1733</v>
      </c>
      <c r="C4" s="20" t="s">
        <v>1734</v>
      </c>
      <c r="D4" s="20" t="s">
        <v>1735</v>
      </c>
      <c r="E4" s="20" t="s">
        <v>1736</v>
      </c>
      <c r="F4" s="20" t="s">
        <v>1737</v>
      </c>
      <c r="G4" s="20" t="s">
        <v>1738</v>
      </c>
      <c r="H4" s="20"/>
      <c r="I4" s="20" t="s">
        <v>1275</v>
      </c>
      <c r="J4" s="20"/>
      <c r="K4" s="20" t="s">
        <v>1739</v>
      </c>
      <c r="L4" s="20" t="s">
        <v>67</v>
      </c>
      <c r="M4" s="20" t="s">
        <v>85</v>
      </c>
      <c r="N4" s="20" t="s">
        <v>306</v>
      </c>
      <c r="O4" s="20"/>
      <c r="P4" s="20"/>
      <c r="Q4" s="20" t="s">
        <v>77</v>
      </c>
      <c r="R4" s="20" t="s">
        <v>942</v>
      </c>
    </row>
    <row r="5" spans="1:18" ht="60" customHeight="1">
      <c r="A5" s="20" t="s">
        <v>1740</v>
      </c>
      <c r="B5" s="20" t="s">
        <v>1741</v>
      </c>
      <c r="C5" s="20" t="s">
        <v>1742</v>
      </c>
      <c r="D5" s="20" t="s">
        <v>1743</v>
      </c>
      <c r="E5" s="20" t="s">
        <v>1744</v>
      </c>
      <c r="F5" s="20" t="s">
        <v>1745</v>
      </c>
      <c r="G5" s="20" t="s">
        <v>1738</v>
      </c>
      <c r="H5" s="20"/>
      <c r="I5" s="20" t="s">
        <v>1275</v>
      </c>
      <c r="J5" s="20"/>
      <c r="K5" s="20" t="s">
        <v>1746</v>
      </c>
      <c r="L5" s="20" t="s">
        <v>92</v>
      </c>
      <c r="M5" s="20" t="s">
        <v>85</v>
      </c>
      <c r="N5" s="20" t="s">
        <v>306</v>
      </c>
      <c r="O5" s="20"/>
      <c r="P5" s="20"/>
      <c r="Q5" s="20" t="s">
        <v>77</v>
      </c>
      <c r="R5" s="20" t="s">
        <v>942</v>
      </c>
    </row>
    <row r="6" spans="1:18">
      <c r="A6" s="19" t="s">
        <v>1747</v>
      </c>
      <c r="B6" s="19"/>
      <c r="C6" s="19"/>
      <c r="D6" s="19"/>
      <c r="E6" s="19"/>
      <c r="F6" s="19"/>
      <c r="G6" s="19"/>
      <c r="H6" s="19"/>
      <c r="I6" s="19"/>
      <c r="J6" s="19"/>
      <c r="K6" s="19"/>
      <c r="L6" s="19"/>
      <c r="M6" s="19"/>
      <c r="N6" s="19"/>
      <c r="O6" s="19"/>
      <c r="P6" s="19"/>
    </row>
    <row r="7" spans="1:18" ht="60" customHeight="1">
      <c r="A7" s="20" t="s">
        <v>1748</v>
      </c>
      <c r="B7" s="20" t="s">
        <v>1749</v>
      </c>
      <c r="C7" s="20" t="s">
        <v>1750</v>
      </c>
      <c r="D7" s="20" t="s">
        <v>1751</v>
      </c>
      <c r="E7" s="20" t="s">
        <v>1752</v>
      </c>
      <c r="F7" s="20" t="s">
        <v>1753</v>
      </c>
      <c r="G7" s="20" t="s">
        <v>1738</v>
      </c>
      <c r="H7" s="20"/>
      <c r="I7" s="20" t="s">
        <v>1275</v>
      </c>
      <c r="J7" s="20"/>
      <c r="K7" s="20" t="s">
        <v>1754</v>
      </c>
      <c r="L7" s="20" t="s">
        <v>67</v>
      </c>
      <c r="M7" s="20" t="s">
        <v>93</v>
      </c>
      <c r="N7" s="20" t="s">
        <v>913</v>
      </c>
      <c r="O7" s="20"/>
      <c r="P7" s="20"/>
      <c r="Q7" s="20" t="s">
        <v>77</v>
      </c>
      <c r="R7" s="20" t="s">
        <v>942</v>
      </c>
    </row>
    <row r="8" spans="1:18" ht="60" customHeight="1">
      <c r="A8" s="20" t="s">
        <v>1755</v>
      </c>
      <c r="B8" s="20" t="s">
        <v>1756</v>
      </c>
      <c r="C8" s="20" t="s">
        <v>1757</v>
      </c>
      <c r="D8" s="20" t="s">
        <v>1758</v>
      </c>
      <c r="E8" s="20" t="s">
        <v>1759</v>
      </c>
      <c r="F8" s="20" t="s">
        <v>1760</v>
      </c>
      <c r="G8" s="20" t="s">
        <v>1738</v>
      </c>
      <c r="H8" s="20"/>
      <c r="I8" s="20" t="s">
        <v>1275</v>
      </c>
      <c r="J8" s="20"/>
      <c r="K8" s="20" t="s">
        <v>1761</v>
      </c>
      <c r="L8" s="20" t="s">
        <v>67</v>
      </c>
      <c r="M8" s="20" t="s">
        <v>93</v>
      </c>
      <c r="N8" s="20" t="s">
        <v>913</v>
      </c>
      <c r="O8" s="20"/>
      <c r="P8" s="20"/>
      <c r="Q8" s="20" t="s">
        <v>77</v>
      </c>
      <c r="R8" s="20" t="s">
        <v>942</v>
      </c>
    </row>
    <row r="9" spans="1:18" ht="60" customHeight="1">
      <c r="A9" s="20" t="s">
        <v>1762</v>
      </c>
      <c r="B9" s="20" t="s">
        <v>1763</v>
      </c>
      <c r="C9" s="20" t="s">
        <v>1764</v>
      </c>
      <c r="D9" s="20" t="s">
        <v>1765</v>
      </c>
      <c r="E9" s="20" t="s">
        <v>1766</v>
      </c>
      <c r="F9" s="20" t="s">
        <v>1767</v>
      </c>
      <c r="G9" s="20" t="s">
        <v>1738</v>
      </c>
      <c r="H9" s="20"/>
      <c r="I9" s="20" t="s">
        <v>1275</v>
      </c>
      <c r="J9" s="20"/>
      <c r="K9" s="20" t="s">
        <v>1768</v>
      </c>
      <c r="L9" s="20" t="s">
        <v>67</v>
      </c>
      <c r="M9" s="20" t="s">
        <v>93</v>
      </c>
      <c r="N9" s="20" t="s">
        <v>913</v>
      </c>
      <c r="O9" s="20"/>
      <c r="P9" s="20"/>
      <c r="Q9" s="20" t="s">
        <v>77</v>
      </c>
      <c r="R9" s="20" t="s">
        <v>942</v>
      </c>
    </row>
    <row r="10" spans="1:18" ht="60" customHeight="1">
      <c r="A10" s="20" t="s">
        <v>1769</v>
      </c>
      <c r="B10" s="20" t="s">
        <v>1770</v>
      </c>
      <c r="C10" s="20" t="s">
        <v>1771</v>
      </c>
      <c r="D10" s="20" t="s">
        <v>1772</v>
      </c>
      <c r="E10" s="20" t="s">
        <v>1773</v>
      </c>
      <c r="F10" s="20" t="s">
        <v>1774</v>
      </c>
      <c r="G10" s="20" t="s">
        <v>1738</v>
      </c>
      <c r="H10" s="20"/>
      <c r="I10" s="20" t="s">
        <v>1275</v>
      </c>
      <c r="J10" s="20"/>
      <c r="K10" s="20" t="s">
        <v>1775</v>
      </c>
      <c r="L10" s="20" t="s">
        <v>67</v>
      </c>
      <c r="M10" s="20" t="s">
        <v>1153</v>
      </c>
      <c r="N10" s="20" t="s">
        <v>1776</v>
      </c>
      <c r="O10" s="20"/>
      <c r="P10" s="20"/>
      <c r="Q10" s="20" t="s">
        <v>77</v>
      </c>
      <c r="R10" s="20" t="s">
        <v>942</v>
      </c>
    </row>
    <row r="11" spans="1:18">
      <c r="A11" s="19" t="s">
        <v>1777</v>
      </c>
      <c r="B11" s="19"/>
      <c r="C11" s="19"/>
      <c r="D11" s="19"/>
      <c r="E11" s="19"/>
      <c r="F11" s="19"/>
      <c r="G11" s="19"/>
      <c r="H11" s="19"/>
      <c r="I11" s="19"/>
      <c r="J11" s="19"/>
      <c r="K11" s="19"/>
      <c r="L11" s="19"/>
      <c r="M11" s="19"/>
      <c r="N11" s="19"/>
      <c r="O11" s="19"/>
      <c r="P11" s="19"/>
    </row>
    <row r="12" spans="1:18" ht="60" customHeight="1">
      <c r="A12" s="20" t="s">
        <v>1778</v>
      </c>
      <c r="B12" s="20" t="s">
        <v>1779</v>
      </c>
      <c r="C12" s="20" t="s">
        <v>1780</v>
      </c>
      <c r="D12" s="20" t="s">
        <v>945</v>
      </c>
      <c r="E12" s="20" t="s">
        <v>1781</v>
      </c>
      <c r="F12" s="20" t="s">
        <v>1782</v>
      </c>
      <c r="G12" s="20" t="s">
        <v>1738</v>
      </c>
      <c r="H12" s="20"/>
      <c r="I12" s="20" t="s">
        <v>1275</v>
      </c>
      <c r="J12" s="20"/>
      <c r="K12" s="20" t="s">
        <v>1783</v>
      </c>
      <c r="L12" s="20" t="s">
        <v>422</v>
      </c>
      <c r="M12" s="20" t="s">
        <v>1153</v>
      </c>
      <c r="N12" s="20" t="s">
        <v>1776</v>
      </c>
      <c r="O12" s="20"/>
      <c r="P12" s="20"/>
      <c r="Q12" s="20" t="s">
        <v>77</v>
      </c>
      <c r="R12" s="20" t="s">
        <v>942</v>
      </c>
    </row>
    <row r="13" spans="1:18">
      <c r="A13" s="19" t="s">
        <v>1784</v>
      </c>
      <c r="B13" s="19"/>
      <c r="C13" s="19"/>
      <c r="D13" s="19"/>
      <c r="E13" s="19"/>
      <c r="F13" s="19"/>
      <c r="G13" s="19"/>
      <c r="H13" s="19"/>
      <c r="I13" s="19"/>
      <c r="J13" s="19"/>
      <c r="K13" s="19"/>
      <c r="L13" s="19"/>
      <c r="M13" s="19"/>
      <c r="N13" s="19"/>
      <c r="O13" s="19"/>
      <c r="P13" s="19"/>
    </row>
    <row r="14" spans="1:18" ht="60" customHeight="1">
      <c r="A14" s="20" t="s">
        <v>1785</v>
      </c>
      <c r="B14" s="20" t="s">
        <v>1786</v>
      </c>
      <c r="C14" s="20" t="s">
        <v>1787</v>
      </c>
      <c r="D14" s="20" t="s">
        <v>1788</v>
      </c>
      <c r="E14" s="20" t="s">
        <v>1789</v>
      </c>
      <c r="F14" s="20" t="s">
        <v>1790</v>
      </c>
      <c r="G14" s="20" t="s">
        <v>1738</v>
      </c>
      <c r="H14" s="20"/>
      <c r="I14" s="20" t="s">
        <v>1275</v>
      </c>
      <c r="J14" s="20"/>
      <c r="K14" s="20" t="s">
        <v>1791</v>
      </c>
      <c r="L14" s="20" t="s">
        <v>67</v>
      </c>
      <c r="M14" s="20" t="s">
        <v>93</v>
      </c>
      <c r="N14" s="20" t="s">
        <v>913</v>
      </c>
      <c r="O14" s="20"/>
      <c r="P14" s="20"/>
      <c r="Q14" s="20" t="s">
        <v>77</v>
      </c>
      <c r="R14" s="20" t="s">
        <v>942</v>
      </c>
    </row>
    <row r="15" spans="1:18" ht="60" customHeight="1">
      <c r="A15" s="20" t="s">
        <v>1792</v>
      </c>
      <c r="B15" s="20" t="s">
        <v>1793</v>
      </c>
      <c r="C15" s="20" t="s">
        <v>1794</v>
      </c>
      <c r="D15" s="20" t="s">
        <v>945</v>
      </c>
      <c r="E15" s="20" t="s">
        <v>1795</v>
      </c>
      <c r="F15" s="20" t="s">
        <v>1796</v>
      </c>
      <c r="G15" s="20" t="s">
        <v>1738</v>
      </c>
      <c r="H15" s="20"/>
      <c r="I15" s="20" t="s">
        <v>1275</v>
      </c>
      <c r="J15" s="20"/>
      <c r="K15" s="20" t="s">
        <v>1797</v>
      </c>
      <c r="L15" s="20" t="s">
        <v>67</v>
      </c>
      <c r="M15" s="20" t="s">
        <v>1153</v>
      </c>
      <c r="N15" s="20" t="s">
        <v>1776</v>
      </c>
      <c r="O15" s="20"/>
      <c r="P15" s="20"/>
      <c r="Q15" s="20" t="s">
        <v>77</v>
      </c>
      <c r="R15" s="20" t="s">
        <v>942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13"/>
  <sheetViews>
    <sheetView workbookViewId="0">
      <pane xSplit="3" ySplit="2" topLeftCell="G3" activePane="bottomRight" state="frozen"/>
      <selection pane="bottomRight"/>
      <selection pane="bottomLeft"/>
      <selection pane="topRight"/>
    </sheetView>
  </sheetViews>
  <sheetFormatPr defaultRowHeight="15"/>
  <cols>
    <col min="1" max="1" width="12" customWidth="1"/>
    <col min="2" max="2" width="42" customWidth="1"/>
    <col min="3" max="3" width="30" customWidth="1"/>
    <col min="4" max="4" width="26" customWidth="1"/>
    <col min="5" max="5" width="34" customWidth="1"/>
    <col min="6" max="6" width="13" customWidth="1"/>
    <col min="7" max="7" width="30" customWidth="1"/>
    <col min="8" max="8" width="10" customWidth="1"/>
    <col min="9" max="9" width="14" customWidth="1"/>
    <col min="10" max="10" width="10" customWidth="1"/>
    <col min="11" max="11" width="34" customWidth="1"/>
    <col min="12" max="12" width="12" customWidth="1"/>
    <col min="13" max="13" width="9" customWidth="1"/>
    <col min="14" max="14" width="10" customWidth="1"/>
    <col min="15" max="15" width="22" customWidth="1"/>
    <col min="16" max="16" width="16" customWidth="1"/>
    <col min="17" max="17" width="14" customWidth="1"/>
    <col min="18" max="18" width="46" customWidth="1"/>
  </cols>
  <sheetData>
    <row r="1" spans="1:18" ht="27.95" customHeight="1">
      <c r="A1" s="17" t="s">
        <v>45</v>
      </c>
      <c r="B1" s="17" t="s">
        <v>46</v>
      </c>
      <c r="C1" s="17" t="s">
        <v>1566</v>
      </c>
      <c r="D1" s="17" t="s">
        <v>47</v>
      </c>
      <c r="E1" s="17" t="s">
        <v>48</v>
      </c>
      <c r="F1" s="17" t="s">
        <v>49</v>
      </c>
      <c r="G1" s="17" t="s">
        <v>1728</v>
      </c>
      <c r="H1" s="17" t="s">
        <v>50</v>
      </c>
      <c r="I1" s="17" t="s">
        <v>935</v>
      </c>
      <c r="J1" s="17" t="s">
        <v>52</v>
      </c>
      <c r="K1" s="17" t="s">
        <v>1729</v>
      </c>
      <c r="L1" s="17" t="s">
        <v>53</v>
      </c>
      <c r="M1" s="17" t="s">
        <v>54</v>
      </c>
      <c r="N1" s="17" t="s">
        <v>55</v>
      </c>
      <c r="O1" s="17" t="s">
        <v>936</v>
      </c>
      <c r="P1" s="17" t="s">
        <v>56</v>
      </c>
      <c r="Q1" s="17" t="s">
        <v>57</v>
      </c>
      <c r="R1" s="17" t="s">
        <v>58</v>
      </c>
    </row>
    <row r="2" spans="1:18" ht="42" customHeight="1">
      <c r="A2" s="18" t="s">
        <v>1798</v>
      </c>
    </row>
    <row r="3" spans="1:18">
      <c r="A3" s="19" t="s">
        <v>1799</v>
      </c>
      <c r="B3" s="19"/>
      <c r="C3" s="19"/>
      <c r="D3" s="19"/>
      <c r="E3" s="19"/>
      <c r="F3" s="19"/>
      <c r="G3" s="19"/>
      <c r="H3" s="19"/>
      <c r="I3" s="19"/>
      <c r="J3" s="19"/>
      <c r="K3" s="19"/>
      <c r="L3" s="19"/>
      <c r="M3" s="19"/>
      <c r="N3" s="19"/>
      <c r="O3" s="19"/>
      <c r="P3" s="19"/>
    </row>
    <row r="4" spans="1:18" ht="60" customHeight="1">
      <c r="A4" s="20" t="s">
        <v>1800</v>
      </c>
      <c r="B4" s="20" t="s">
        <v>1801</v>
      </c>
      <c r="C4" s="20" t="s">
        <v>1802</v>
      </c>
      <c r="D4" s="20" t="s">
        <v>1803</v>
      </c>
      <c r="E4" s="20" t="s">
        <v>1804</v>
      </c>
      <c r="F4" s="20" t="s">
        <v>1805</v>
      </c>
      <c r="G4" s="20" t="s">
        <v>1738</v>
      </c>
      <c r="H4" s="20"/>
      <c r="I4" s="20" t="s">
        <v>1275</v>
      </c>
      <c r="J4" s="20"/>
      <c r="K4" s="20" t="s">
        <v>1806</v>
      </c>
      <c r="L4" s="20" t="s">
        <v>67</v>
      </c>
      <c r="M4" s="20" t="s">
        <v>85</v>
      </c>
      <c r="N4" s="20" t="s">
        <v>306</v>
      </c>
      <c r="O4" s="20"/>
      <c r="P4" s="20"/>
      <c r="Q4" s="20" t="s">
        <v>77</v>
      </c>
      <c r="R4" s="20" t="s">
        <v>942</v>
      </c>
    </row>
    <row r="5" spans="1:18" ht="60" customHeight="1">
      <c r="A5" s="20" t="s">
        <v>1807</v>
      </c>
      <c r="B5" s="20" t="s">
        <v>1808</v>
      </c>
      <c r="C5" s="20" t="s">
        <v>1809</v>
      </c>
      <c r="D5" s="20" t="s">
        <v>1810</v>
      </c>
      <c r="E5" s="20" t="s">
        <v>1811</v>
      </c>
      <c r="F5" s="20" t="s">
        <v>1812</v>
      </c>
      <c r="G5" s="20" t="s">
        <v>1738</v>
      </c>
      <c r="H5" s="20"/>
      <c r="I5" s="20" t="s">
        <v>1275</v>
      </c>
      <c r="J5" s="20"/>
      <c r="K5" s="20" t="s">
        <v>1813</v>
      </c>
      <c r="L5" s="20" t="s">
        <v>67</v>
      </c>
      <c r="M5" s="20" t="s">
        <v>68</v>
      </c>
      <c r="N5" s="20" t="s">
        <v>69</v>
      </c>
      <c r="O5" s="20"/>
      <c r="P5" s="20"/>
      <c r="Q5" s="20" t="s">
        <v>77</v>
      </c>
      <c r="R5" s="20" t="s">
        <v>942</v>
      </c>
    </row>
    <row r="6" spans="1:18" ht="60" customHeight="1">
      <c r="A6" s="20" t="s">
        <v>1814</v>
      </c>
      <c r="B6" s="20" t="s">
        <v>1815</v>
      </c>
      <c r="C6" s="20" t="s">
        <v>1816</v>
      </c>
      <c r="D6" s="20" t="s">
        <v>1817</v>
      </c>
      <c r="E6" s="20" t="s">
        <v>1818</v>
      </c>
      <c r="F6" s="20" t="s">
        <v>1819</v>
      </c>
      <c r="G6" s="20" t="s">
        <v>1738</v>
      </c>
      <c r="H6" s="20"/>
      <c r="I6" s="20" t="s">
        <v>1275</v>
      </c>
      <c r="J6" s="20"/>
      <c r="K6" s="20" t="s">
        <v>1820</v>
      </c>
      <c r="L6" s="20" t="s">
        <v>67</v>
      </c>
      <c r="M6" s="20" t="s">
        <v>85</v>
      </c>
      <c r="N6" s="20" t="s">
        <v>306</v>
      </c>
      <c r="O6" s="20"/>
      <c r="P6" s="20"/>
      <c r="Q6" s="20" t="s">
        <v>77</v>
      </c>
      <c r="R6" s="20" t="s">
        <v>942</v>
      </c>
    </row>
    <row r="7" spans="1:18" ht="60" customHeight="1">
      <c r="A7" s="20" t="s">
        <v>1821</v>
      </c>
      <c r="B7" s="20" t="s">
        <v>1822</v>
      </c>
      <c r="C7" s="20" t="s">
        <v>1823</v>
      </c>
      <c r="D7" s="20" t="s">
        <v>1824</v>
      </c>
      <c r="E7" s="20" t="s">
        <v>1825</v>
      </c>
      <c r="F7" s="20" t="s">
        <v>1826</v>
      </c>
      <c r="G7" s="20" t="s">
        <v>1738</v>
      </c>
      <c r="H7" s="20"/>
      <c r="I7" s="20" t="s">
        <v>1275</v>
      </c>
      <c r="J7" s="20"/>
      <c r="K7" s="20" t="s">
        <v>1827</v>
      </c>
      <c r="L7" s="20" t="s">
        <v>67</v>
      </c>
      <c r="M7" s="20" t="s">
        <v>85</v>
      </c>
      <c r="N7" s="20" t="s">
        <v>306</v>
      </c>
      <c r="O7" s="20"/>
      <c r="P7" s="20"/>
      <c r="Q7" s="20" t="s">
        <v>77</v>
      </c>
      <c r="R7" s="20" t="s">
        <v>942</v>
      </c>
    </row>
    <row r="8" spans="1:18" ht="60" customHeight="1">
      <c r="A8" s="20" t="s">
        <v>1828</v>
      </c>
      <c r="B8" s="20" t="s">
        <v>1829</v>
      </c>
      <c r="C8" s="20" t="s">
        <v>1830</v>
      </c>
      <c r="D8" s="20" t="s">
        <v>1831</v>
      </c>
      <c r="E8" s="20" t="s">
        <v>1832</v>
      </c>
      <c r="F8" s="20" t="s">
        <v>1833</v>
      </c>
      <c r="G8" s="20" t="s">
        <v>1738</v>
      </c>
      <c r="H8" s="20"/>
      <c r="I8" s="20" t="s">
        <v>1275</v>
      </c>
      <c r="J8" s="20"/>
      <c r="K8" s="20" t="s">
        <v>1834</v>
      </c>
      <c r="L8" s="20" t="s">
        <v>67</v>
      </c>
      <c r="M8" s="20" t="s">
        <v>85</v>
      </c>
      <c r="N8" s="20" t="s">
        <v>69</v>
      </c>
      <c r="O8" s="20"/>
      <c r="P8" s="20"/>
      <c r="Q8" s="20" t="s">
        <v>77</v>
      </c>
      <c r="R8" s="20" t="s">
        <v>942</v>
      </c>
    </row>
    <row r="9" spans="1:18" ht="60" customHeight="1">
      <c r="A9" s="20" t="s">
        <v>1835</v>
      </c>
      <c r="B9" s="20" t="s">
        <v>1836</v>
      </c>
      <c r="C9" s="20" t="s">
        <v>1837</v>
      </c>
      <c r="D9" s="20" t="s">
        <v>1838</v>
      </c>
      <c r="E9" s="20" t="s">
        <v>1839</v>
      </c>
      <c r="F9" s="20" t="s">
        <v>1840</v>
      </c>
      <c r="G9" s="20" t="s">
        <v>1738</v>
      </c>
      <c r="H9" s="20"/>
      <c r="I9" s="20" t="s">
        <v>1275</v>
      </c>
      <c r="J9" s="20"/>
      <c r="K9" s="20" t="s">
        <v>1841</v>
      </c>
      <c r="L9" s="20" t="s">
        <v>67</v>
      </c>
      <c r="M9" s="20" t="s">
        <v>85</v>
      </c>
      <c r="N9" s="20" t="s">
        <v>306</v>
      </c>
      <c r="O9" s="20"/>
      <c r="P9" s="20"/>
      <c r="Q9" s="20" t="s">
        <v>77</v>
      </c>
      <c r="R9" s="20" t="s">
        <v>942</v>
      </c>
    </row>
    <row r="10" spans="1:18">
      <c r="A10" s="19" t="s">
        <v>1842</v>
      </c>
      <c r="B10" s="19"/>
      <c r="C10" s="19"/>
      <c r="D10" s="19"/>
      <c r="E10" s="19"/>
      <c r="F10" s="19"/>
      <c r="G10" s="19"/>
      <c r="H10" s="19"/>
      <c r="I10" s="19"/>
      <c r="J10" s="19"/>
      <c r="K10" s="19"/>
      <c r="L10" s="19"/>
      <c r="M10" s="19"/>
      <c r="N10" s="19"/>
      <c r="O10" s="19"/>
      <c r="P10" s="19"/>
    </row>
    <row r="11" spans="1:18" ht="60" customHeight="1">
      <c r="A11" s="20" t="s">
        <v>1843</v>
      </c>
      <c r="B11" s="20" t="s">
        <v>1844</v>
      </c>
      <c r="C11" s="20" t="s">
        <v>1845</v>
      </c>
      <c r="D11" s="20" t="s">
        <v>1846</v>
      </c>
      <c r="E11" s="20" t="s">
        <v>1847</v>
      </c>
      <c r="F11" s="20" t="s">
        <v>1848</v>
      </c>
      <c r="G11" s="20" t="s">
        <v>1738</v>
      </c>
      <c r="H11" s="20"/>
      <c r="I11" s="20" t="s">
        <v>1275</v>
      </c>
      <c r="J11" s="20"/>
      <c r="K11" s="20" t="s">
        <v>1849</v>
      </c>
      <c r="L11" s="20" t="s">
        <v>67</v>
      </c>
      <c r="M11" s="20" t="s">
        <v>68</v>
      </c>
      <c r="N11" s="20" t="s">
        <v>69</v>
      </c>
      <c r="O11" s="20"/>
      <c r="P11" s="20"/>
      <c r="Q11" s="20" t="s">
        <v>77</v>
      </c>
      <c r="R11" s="20" t="s">
        <v>942</v>
      </c>
    </row>
    <row r="12" spans="1:18" ht="60" customHeight="1">
      <c r="A12" s="20" t="s">
        <v>1850</v>
      </c>
      <c r="B12" s="20" t="s">
        <v>1851</v>
      </c>
      <c r="C12" s="20" t="s">
        <v>1852</v>
      </c>
      <c r="D12" s="20" t="s">
        <v>1853</v>
      </c>
      <c r="E12" s="20" t="s">
        <v>1854</v>
      </c>
      <c r="F12" s="20" t="s">
        <v>1855</v>
      </c>
      <c r="G12" s="20" t="s">
        <v>1738</v>
      </c>
      <c r="H12" s="20"/>
      <c r="I12" s="20" t="s">
        <v>1275</v>
      </c>
      <c r="J12" s="20"/>
      <c r="K12" s="20" t="s">
        <v>1856</v>
      </c>
      <c r="L12" s="20" t="s">
        <v>67</v>
      </c>
      <c r="M12" s="20" t="s">
        <v>85</v>
      </c>
      <c r="N12" s="20" t="s">
        <v>306</v>
      </c>
      <c r="O12" s="20"/>
      <c r="P12" s="20"/>
      <c r="Q12" s="20" t="s">
        <v>77</v>
      </c>
      <c r="R12" s="20" t="s">
        <v>942</v>
      </c>
    </row>
    <row r="13" spans="1:18" ht="60" customHeight="1">
      <c r="A13" s="20" t="s">
        <v>1857</v>
      </c>
      <c r="B13" s="20" t="s">
        <v>1858</v>
      </c>
      <c r="C13" s="20" t="s">
        <v>1859</v>
      </c>
      <c r="D13" s="20" t="s">
        <v>1860</v>
      </c>
      <c r="E13" s="20" t="s">
        <v>1861</v>
      </c>
      <c r="F13" s="20" t="s">
        <v>1862</v>
      </c>
      <c r="G13" s="20" t="s">
        <v>1738</v>
      </c>
      <c r="H13" s="20"/>
      <c r="I13" s="20" t="s">
        <v>1275</v>
      </c>
      <c r="J13" s="20"/>
      <c r="K13" s="20" t="s">
        <v>1863</v>
      </c>
      <c r="L13" s="20" t="s">
        <v>67</v>
      </c>
      <c r="M13" s="20" t="s">
        <v>85</v>
      </c>
      <c r="N13" s="20" t="s">
        <v>306</v>
      </c>
      <c r="O13" s="20"/>
      <c r="P13" s="20"/>
      <c r="Q13" s="20" t="s">
        <v>77</v>
      </c>
      <c r="R13" s="20" t="s">
        <v>942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9"/>
  <sheetViews>
    <sheetView workbookViewId="0">
      <pane ySplit="1" topLeftCell="A2" activePane="bottomLeft" state="frozen"/>
      <selection pane="bottomLeft" activeCell="F17" sqref="F17"/>
    </sheetView>
  </sheetViews>
  <sheetFormatPr defaultRowHeight="15"/>
  <cols>
    <col min="1" max="1" width="14" customWidth="1"/>
    <col min="2" max="2" width="51.42578125" customWidth="1"/>
    <col min="3" max="4" width="40" customWidth="1"/>
    <col min="5" max="5" width="34.85546875" customWidth="1"/>
    <col min="6" max="6" width="49.42578125" customWidth="1"/>
  </cols>
  <sheetData>
    <row r="1" spans="1:6" ht="45.75" customHeight="1">
      <c r="A1" s="2" t="s">
        <v>1864</v>
      </c>
      <c r="B1" s="2" t="s">
        <v>1865</v>
      </c>
      <c r="C1" s="2" t="s">
        <v>1866</v>
      </c>
      <c r="D1" s="2" t="s">
        <v>1867</v>
      </c>
      <c r="E1" s="2" t="s">
        <v>1868</v>
      </c>
      <c r="F1" s="2" t="s">
        <v>1869</v>
      </c>
    </row>
    <row r="2" spans="1:6" ht="244.5" customHeight="1">
      <c r="A2" s="3" t="s">
        <v>1870</v>
      </c>
      <c r="B2" s="3" t="s">
        <v>1871</v>
      </c>
      <c r="C2" s="3" t="s">
        <v>1872</v>
      </c>
      <c r="D2" s="3">
        <v>37</v>
      </c>
      <c r="E2" s="3" t="s">
        <v>1873</v>
      </c>
      <c r="F2" s="3" t="s">
        <v>1874</v>
      </c>
    </row>
    <row r="3" spans="1:6" ht="45.75" customHeight="1">
      <c r="A3" s="3" t="s">
        <v>1875</v>
      </c>
      <c r="B3" s="3" t="s">
        <v>1876</v>
      </c>
      <c r="C3" s="3" t="s">
        <v>1877</v>
      </c>
      <c r="D3" s="3">
        <v>9</v>
      </c>
      <c r="E3" s="3" t="s">
        <v>945</v>
      </c>
      <c r="F3" s="3" t="s">
        <v>1878</v>
      </c>
    </row>
    <row r="4" spans="1:6" ht="167.25" customHeight="1">
      <c r="A4" s="3" t="s">
        <v>1879</v>
      </c>
      <c r="B4" s="3" t="s">
        <v>1880</v>
      </c>
      <c r="C4" s="3" t="s">
        <v>1881</v>
      </c>
      <c r="D4" s="3">
        <v>32</v>
      </c>
      <c r="E4" s="3" t="s">
        <v>1882</v>
      </c>
      <c r="F4" s="3" t="s">
        <v>1883</v>
      </c>
    </row>
    <row r="5" spans="1:6" ht="76.5" customHeight="1">
      <c r="A5" s="3" t="s">
        <v>1884</v>
      </c>
      <c r="B5" s="3" t="s">
        <v>1885</v>
      </c>
      <c r="C5" s="3" t="s">
        <v>1886</v>
      </c>
      <c r="D5" s="3">
        <v>0</v>
      </c>
      <c r="E5" s="3" t="s">
        <v>1887</v>
      </c>
      <c r="F5" s="3" t="s">
        <v>1888</v>
      </c>
    </row>
    <row r="6" spans="1:6" ht="30.75" customHeight="1">
      <c r="A6" s="3" t="s">
        <v>1889</v>
      </c>
      <c r="B6" s="3" t="s">
        <v>1890</v>
      </c>
      <c r="C6" s="3" t="s">
        <v>108</v>
      </c>
      <c r="D6" s="3">
        <v>1</v>
      </c>
      <c r="E6" s="3" t="s">
        <v>945</v>
      </c>
      <c r="F6" s="3" t="s">
        <v>1891</v>
      </c>
    </row>
    <row r="7" spans="1:6" ht="121.5" customHeight="1">
      <c r="A7" s="3" t="s">
        <v>1892</v>
      </c>
      <c r="B7" s="3" t="s">
        <v>1893</v>
      </c>
      <c r="C7" s="3" t="s">
        <v>242</v>
      </c>
      <c r="D7" s="3">
        <v>1</v>
      </c>
      <c r="E7" s="3" t="s">
        <v>945</v>
      </c>
      <c r="F7" s="3" t="s">
        <v>1894</v>
      </c>
    </row>
    <row r="8" spans="1:6" ht="167.25" customHeight="1">
      <c r="A8" s="3" t="s">
        <v>1895</v>
      </c>
      <c r="B8" s="3" t="s">
        <v>1893</v>
      </c>
      <c r="C8" s="3" t="s">
        <v>288</v>
      </c>
      <c r="D8" s="3">
        <v>1</v>
      </c>
      <c r="E8" s="3" t="s">
        <v>945</v>
      </c>
      <c r="F8" s="3" t="s">
        <v>1896</v>
      </c>
    </row>
    <row r="9" spans="1:6" ht="152.25" customHeight="1">
      <c r="A9" s="3" t="s">
        <v>1897</v>
      </c>
      <c r="B9" s="3" t="s">
        <v>1893</v>
      </c>
      <c r="C9" s="3" t="s">
        <v>1898</v>
      </c>
      <c r="D9" s="3">
        <v>6</v>
      </c>
      <c r="E9" s="3" t="s">
        <v>945</v>
      </c>
      <c r="F9" s="3" t="s">
        <v>1899</v>
      </c>
    </row>
    <row r="10" spans="1:6" ht="30.75" customHeight="1">
      <c r="A10" s="3" t="s">
        <v>1900</v>
      </c>
      <c r="B10" s="3" t="s">
        <v>1893</v>
      </c>
      <c r="C10" s="3" t="s">
        <v>254</v>
      </c>
      <c r="D10" s="3">
        <v>1</v>
      </c>
      <c r="E10" s="3" t="s">
        <v>1901</v>
      </c>
      <c r="F10" s="3" t="s">
        <v>1891</v>
      </c>
    </row>
    <row r="11" spans="1:6" ht="183" customHeight="1">
      <c r="A11" s="3" t="s">
        <v>1902</v>
      </c>
      <c r="B11" s="3" t="s">
        <v>1893</v>
      </c>
      <c r="C11" s="3" t="s">
        <v>1903</v>
      </c>
      <c r="D11" s="3">
        <v>2</v>
      </c>
      <c r="E11" s="3" t="s">
        <v>1904</v>
      </c>
      <c r="F11" s="3" t="s">
        <v>1905</v>
      </c>
    </row>
    <row r="12" spans="1:6" ht="30.75" customHeight="1">
      <c r="A12" s="3" t="s">
        <v>1906</v>
      </c>
      <c r="B12" s="3" t="s">
        <v>1907</v>
      </c>
      <c r="C12" s="3" t="s">
        <v>313</v>
      </c>
      <c r="D12" s="3">
        <v>1</v>
      </c>
      <c r="E12" s="3" t="s">
        <v>945</v>
      </c>
      <c r="F12" s="3" t="s">
        <v>1891</v>
      </c>
    </row>
    <row r="13" spans="1:6" ht="30.75" customHeight="1">
      <c r="A13" s="3" t="s">
        <v>1908</v>
      </c>
      <c r="B13" s="3" t="s">
        <v>1907</v>
      </c>
      <c r="C13" s="3" t="s">
        <v>324</v>
      </c>
      <c r="D13" s="3">
        <v>1</v>
      </c>
      <c r="E13" s="3" t="s">
        <v>945</v>
      </c>
      <c r="F13" s="3" t="s">
        <v>1891</v>
      </c>
    </row>
    <row r="14" spans="1:6" ht="30.75" customHeight="1">
      <c r="A14" s="3" t="s">
        <v>1909</v>
      </c>
      <c r="B14" s="3" t="s">
        <v>1907</v>
      </c>
      <c r="C14" s="3" t="s">
        <v>329</v>
      </c>
      <c r="D14" s="3">
        <v>1</v>
      </c>
      <c r="E14" s="3" t="s">
        <v>945</v>
      </c>
      <c r="F14" s="3" t="s">
        <v>1891</v>
      </c>
    </row>
    <row r="15" spans="1:6" ht="30.75" customHeight="1">
      <c r="A15" s="3" t="s">
        <v>1910</v>
      </c>
      <c r="B15" s="3" t="s">
        <v>1907</v>
      </c>
      <c r="C15" s="3" t="s">
        <v>319</v>
      </c>
      <c r="D15" s="3">
        <v>1</v>
      </c>
      <c r="E15" s="3" t="s">
        <v>945</v>
      </c>
      <c r="F15" s="3" t="s">
        <v>1891</v>
      </c>
    </row>
    <row r="16" spans="1:6" ht="60.75" customHeight="1">
      <c r="A16" s="3" t="s">
        <v>1911</v>
      </c>
      <c r="B16" s="3" t="s">
        <v>1907</v>
      </c>
      <c r="C16" s="3" t="s">
        <v>340</v>
      </c>
      <c r="D16" s="3">
        <v>1</v>
      </c>
      <c r="E16" s="3" t="s">
        <v>945</v>
      </c>
      <c r="F16" s="3" t="s">
        <v>1912</v>
      </c>
    </row>
    <row r="17" spans="1:6" ht="30.75" customHeight="1">
      <c r="A17" s="3" t="s">
        <v>1913</v>
      </c>
      <c r="B17" s="3" t="s">
        <v>1907</v>
      </c>
      <c r="C17" s="3" t="s">
        <v>335</v>
      </c>
      <c r="D17" s="3">
        <v>1</v>
      </c>
      <c r="E17" s="3" t="s">
        <v>945</v>
      </c>
      <c r="F17" s="3" t="s">
        <v>1891</v>
      </c>
    </row>
    <row r="18" spans="1:6" ht="137.25" customHeight="1">
      <c r="A18" s="3" t="s">
        <v>1914</v>
      </c>
      <c r="B18" s="3" t="s">
        <v>1915</v>
      </c>
      <c r="C18" s="3" t="s">
        <v>1916</v>
      </c>
      <c r="D18" s="3">
        <v>5</v>
      </c>
      <c r="E18" s="3" t="s">
        <v>945</v>
      </c>
      <c r="F18" s="3" t="s">
        <v>1917</v>
      </c>
    </row>
    <row r="19" spans="1:6" ht="45.75" customHeight="1">
      <c r="A19" s="3" t="s">
        <v>1918</v>
      </c>
      <c r="B19" s="3" t="s">
        <v>1915</v>
      </c>
      <c r="C19" s="3" t="s">
        <v>1919</v>
      </c>
      <c r="D19" s="3">
        <v>6</v>
      </c>
      <c r="E19" s="3" t="s">
        <v>1920</v>
      </c>
      <c r="F19" s="3" t="s">
        <v>1921</v>
      </c>
    </row>
    <row r="20" spans="1:6" ht="60.75" customHeight="1">
      <c r="A20" s="3" t="s">
        <v>1922</v>
      </c>
      <c r="B20" s="3" t="s">
        <v>1915</v>
      </c>
      <c r="C20" s="3" t="s">
        <v>471</v>
      </c>
      <c r="D20" s="3">
        <v>1</v>
      </c>
      <c r="E20" s="3" t="s">
        <v>1901</v>
      </c>
      <c r="F20" s="3" t="s">
        <v>1912</v>
      </c>
    </row>
    <row r="21" spans="1:6" ht="106.5" customHeight="1">
      <c r="A21" s="3" t="s">
        <v>1923</v>
      </c>
      <c r="B21" s="3" t="s">
        <v>1924</v>
      </c>
      <c r="C21" s="3" t="s">
        <v>1925</v>
      </c>
      <c r="D21" s="3">
        <v>24</v>
      </c>
      <c r="E21" s="3" t="s">
        <v>1926</v>
      </c>
      <c r="F21" s="3" t="s">
        <v>1927</v>
      </c>
    </row>
    <row r="22" spans="1:6" ht="121.5" customHeight="1">
      <c r="A22" s="3" t="s">
        <v>1928</v>
      </c>
      <c r="B22" s="3" t="s">
        <v>1893</v>
      </c>
      <c r="C22" s="3" t="s">
        <v>1929</v>
      </c>
      <c r="D22" s="3">
        <v>2</v>
      </c>
      <c r="E22" s="3" t="s">
        <v>1930</v>
      </c>
      <c r="F22" s="3" t="s">
        <v>1931</v>
      </c>
    </row>
    <row r="23" spans="1:6" ht="198" customHeight="1">
      <c r="A23" s="3" t="s">
        <v>1932</v>
      </c>
      <c r="B23" s="3" t="s">
        <v>1907</v>
      </c>
      <c r="C23" s="3" t="s">
        <v>345</v>
      </c>
      <c r="D23" s="3">
        <v>1</v>
      </c>
      <c r="E23" s="3" t="s">
        <v>1933</v>
      </c>
      <c r="F23" s="3" t="s">
        <v>1934</v>
      </c>
    </row>
    <row r="24" spans="1:6" ht="91.5" customHeight="1">
      <c r="A24" s="3" t="s">
        <v>1935</v>
      </c>
      <c r="B24" s="3" t="s">
        <v>1893</v>
      </c>
      <c r="C24" s="3" t="s">
        <v>282</v>
      </c>
      <c r="D24" s="3">
        <v>1</v>
      </c>
      <c r="E24" s="3" t="s">
        <v>1936</v>
      </c>
      <c r="F24" s="3" t="s">
        <v>1937</v>
      </c>
    </row>
    <row r="25" spans="1:6" ht="167.25" customHeight="1">
      <c r="A25" s="3" t="s">
        <v>1938</v>
      </c>
      <c r="B25" s="3" t="s">
        <v>1893</v>
      </c>
      <c r="C25" s="3" t="s">
        <v>248</v>
      </c>
      <c r="D25" s="3">
        <v>1</v>
      </c>
      <c r="E25" s="3" t="s">
        <v>945</v>
      </c>
      <c r="F25" s="3" t="s">
        <v>1939</v>
      </c>
    </row>
    <row r="26" spans="1:6" ht="30.75" customHeight="1">
      <c r="A26" s="3" t="s">
        <v>1940</v>
      </c>
      <c r="B26" s="3"/>
      <c r="C26" s="3" t="s">
        <v>1941</v>
      </c>
      <c r="D26" s="3">
        <v>4</v>
      </c>
      <c r="E26" s="3"/>
      <c r="F26" s="3" t="s">
        <v>1942</v>
      </c>
    </row>
    <row r="27" spans="1:6" ht="30.75" customHeight="1">
      <c r="A27" s="3" t="s">
        <v>1943</v>
      </c>
      <c r="B27" s="3"/>
      <c r="C27" s="3" t="s">
        <v>1944</v>
      </c>
      <c r="D27" s="3">
        <v>2</v>
      </c>
      <c r="E27" s="3"/>
      <c r="F27" s="3" t="s">
        <v>1945</v>
      </c>
    </row>
    <row r="28" spans="1:6" ht="30.75" customHeight="1">
      <c r="A28" s="3" t="s">
        <v>1946</v>
      </c>
      <c r="B28" s="3"/>
      <c r="C28" s="3" t="s">
        <v>1947</v>
      </c>
      <c r="D28" s="3">
        <v>2</v>
      </c>
      <c r="E28" s="3"/>
      <c r="F28" s="3" t="s">
        <v>1948</v>
      </c>
    </row>
    <row r="29" spans="1:6" ht="30.75" customHeight="1">
      <c r="A29" s="3" t="s">
        <v>1949</v>
      </c>
      <c r="B29" s="3"/>
      <c r="C29" s="3" t="s">
        <v>975</v>
      </c>
      <c r="D29" s="3">
        <v>1</v>
      </c>
      <c r="E29" s="3"/>
      <c r="F29" s="3" t="s">
        <v>1950</v>
      </c>
    </row>
    <row r="30" spans="1:6" ht="30.75" customHeight="1">
      <c r="A30" s="3" t="s">
        <v>1951</v>
      </c>
      <c r="B30" s="3"/>
      <c r="C30" s="3" t="s">
        <v>1952</v>
      </c>
      <c r="D30" s="3">
        <v>4</v>
      </c>
      <c r="E30" s="3"/>
      <c r="F30" s="3" t="s">
        <v>1953</v>
      </c>
    </row>
    <row r="31" spans="1:6" ht="30.75" customHeight="1">
      <c r="A31" s="3" t="s">
        <v>1954</v>
      </c>
      <c r="B31" s="3"/>
      <c r="C31" s="3" t="s">
        <v>955</v>
      </c>
      <c r="D31" s="3">
        <v>1</v>
      </c>
      <c r="E31" s="3"/>
      <c r="F31" s="3" t="s">
        <v>1950</v>
      </c>
    </row>
    <row r="32" spans="1:6" ht="30.75" customHeight="1">
      <c r="A32" s="3" t="s">
        <v>1955</v>
      </c>
      <c r="B32" s="3"/>
      <c r="C32" s="3" t="s">
        <v>960</v>
      </c>
      <c r="D32" s="3">
        <v>1</v>
      </c>
      <c r="E32" s="3"/>
      <c r="F32" s="3" t="s">
        <v>1950</v>
      </c>
    </row>
    <row r="33" spans="1:6" ht="30.75" customHeight="1">
      <c r="A33" s="3" t="s">
        <v>1956</v>
      </c>
      <c r="B33" s="3"/>
      <c r="C33" s="3" t="s">
        <v>965</v>
      </c>
      <c r="D33" s="3">
        <v>1</v>
      </c>
      <c r="E33" s="3"/>
      <c r="F33" s="3" t="s">
        <v>1950</v>
      </c>
    </row>
    <row r="34" spans="1:6" ht="30.75" customHeight="1">
      <c r="A34" s="3" t="s">
        <v>1957</v>
      </c>
      <c r="B34" s="3"/>
      <c r="C34" s="3" t="s">
        <v>979</v>
      </c>
      <c r="D34" s="3">
        <v>1</v>
      </c>
      <c r="E34" s="3"/>
      <c r="F34" s="3" t="s">
        <v>1950</v>
      </c>
    </row>
    <row r="35" spans="1:6" ht="30.75" customHeight="1">
      <c r="A35" s="3" t="s">
        <v>1958</v>
      </c>
      <c r="B35" s="3"/>
      <c r="C35" s="3" t="s">
        <v>983</v>
      </c>
      <c r="D35" s="3">
        <v>1</v>
      </c>
      <c r="E35" s="3"/>
      <c r="F35" s="3" t="s">
        <v>1950</v>
      </c>
    </row>
    <row r="36" spans="1:6" ht="30.75" customHeight="1">
      <c r="A36" s="3" t="s">
        <v>1959</v>
      </c>
      <c r="B36" s="3"/>
      <c r="C36" s="3" t="s">
        <v>1960</v>
      </c>
      <c r="D36" s="3">
        <v>5</v>
      </c>
      <c r="E36" s="3"/>
      <c r="F36" s="3" t="s">
        <v>1961</v>
      </c>
    </row>
    <row r="37" spans="1:6" ht="30.75" customHeight="1">
      <c r="A37" s="3" t="s">
        <v>1962</v>
      </c>
      <c r="B37" s="3"/>
      <c r="C37" s="3" t="s">
        <v>1053</v>
      </c>
      <c r="D37" s="3">
        <v>1</v>
      </c>
      <c r="E37" s="3"/>
      <c r="F37" s="3" t="s">
        <v>1950</v>
      </c>
    </row>
    <row r="38" spans="1:6" ht="30.75" customHeight="1">
      <c r="A38" s="3" t="s">
        <v>1963</v>
      </c>
      <c r="B38" s="3"/>
      <c r="C38" s="3" t="s">
        <v>1964</v>
      </c>
      <c r="D38" s="3">
        <v>3</v>
      </c>
      <c r="E38" s="3"/>
      <c r="F38" s="3" t="s">
        <v>1965</v>
      </c>
    </row>
    <row r="39" spans="1:6" ht="30.75" customHeight="1">
      <c r="A39" s="3" t="s">
        <v>1966</v>
      </c>
      <c r="B39" s="3"/>
      <c r="C39" s="3" t="s">
        <v>1967</v>
      </c>
      <c r="D39" s="3">
        <v>2</v>
      </c>
      <c r="E39" s="3"/>
      <c r="F39" s="3" t="s">
        <v>1968</v>
      </c>
    </row>
    <row r="40" spans="1:6" ht="30.75" customHeight="1">
      <c r="A40" s="3" t="s">
        <v>1969</v>
      </c>
      <c r="B40" s="3"/>
      <c r="C40" s="3" t="s">
        <v>1065</v>
      </c>
      <c r="D40" s="3">
        <v>1</v>
      </c>
      <c r="E40" s="3"/>
      <c r="F40" s="3" t="s">
        <v>1950</v>
      </c>
    </row>
    <row r="41" spans="1:6" ht="152.25" customHeight="1">
      <c r="A41" s="3" t="s">
        <v>1970</v>
      </c>
      <c r="B41" s="3"/>
      <c r="C41" s="3" t="s">
        <v>1971</v>
      </c>
      <c r="D41" s="3">
        <v>3</v>
      </c>
      <c r="E41" s="3"/>
      <c r="F41" s="3" t="s">
        <v>1972</v>
      </c>
    </row>
    <row r="42" spans="1:6" ht="30.75" customHeight="1">
      <c r="A42" s="3" t="s">
        <v>1973</v>
      </c>
      <c r="B42" s="3"/>
      <c r="C42" s="3" t="s">
        <v>1974</v>
      </c>
      <c r="D42" s="3">
        <v>3</v>
      </c>
      <c r="E42" s="3"/>
      <c r="F42" s="3" t="s">
        <v>1975</v>
      </c>
    </row>
    <row r="43" spans="1:6" ht="30.75" customHeight="1">
      <c r="A43" s="3" t="s">
        <v>1976</v>
      </c>
      <c r="B43" s="3"/>
      <c r="C43" s="3" t="s">
        <v>1104</v>
      </c>
      <c r="D43" s="3">
        <v>1</v>
      </c>
      <c r="E43" s="3"/>
      <c r="F43" s="3" t="s">
        <v>1950</v>
      </c>
    </row>
    <row r="44" spans="1:6" ht="106.5" customHeight="1">
      <c r="A44" s="3" t="s">
        <v>1977</v>
      </c>
      <c r="B44" s="3"/>
      <c r="C44" s="3" t="s">
        <v>1108</v>
      </c>
      <c r="D44" s="3">
        <v>1</v>
      </c>
      <c r="E44" s="3"/>
      <c r="F44" s="3" t="s">
        <v>1978</v>
      </c>
    </row>
    <row r="45" spans="1:6" ht="30.75" customHeight="1">
      <c r="A45" s="3" t="s">
        <v>1979</v>
      </c>
      <c r="B45" s="3"/>
      <c r="C45" s="3" t="s">
        <v>1980</v>
      </c>
      <c r="D45" s="3">
        <v>6</v>
      </c>
      <c r="E45" s="3"/>
      <c r="F45" s="3" t="s">
        <v>1981</v>
      </c>
    </row>
    <row r="46" spans="1:6" ht="30.75" customHeight="1">
      <c r="A46" s="3" t="s">
        <v>1982</v>
      </c>
      <c r="B46" s="3"/>
      <c r="C46" s="3" t="s">
        <v>1983</v>
      </c>
      <c r="D46" s="3">
        <v>7</v>
      </c>
      <c r="E46" s="3"/>
      <c r="F46" s="3" t="s">
        <v>1984</v>
      </c>
    </row>
    <row r="47" spans="1:6" ht="30.75" customHeight="1">
      <c r="A47" s="3" t="s">
        <v>1985</v>
      </c>
      <c r="B47" s="3"/>
      <c r="C47" s="3" t="s">
        <v>1986</v>
      </c>
      <c r="D47" s="3">
        <v>3</v>
      </c>
      <c r="E47" s="3"/>
      <c r="F47" s="3" t="s">
        <v>1987</v>
      </c>
    </row>
    <row r="48" spans="1:6" ht="30.75" customHeight="1">
      <c r="A48" s="3" t="s">
        <v>1988</v>
      </c>
      <c r="B48" s="3"/>
      <c r="C48" s="3" t="s">
        <v>1989</v>
      </c>
      <c r="D48" s="3">
        <v>4</v>
      </c>
      <c r="E48" s="3"/>
      <c r="F48" s="3" t="s">
        <v>1990</v>
      </c>
    </row>
    <row r="49" spans="1:6" ht="30.75" customHeight="1">
      <c r="A49" s="3" t="s">
        <v>1991</v>
      </c>
      <c r="B49" s="3"/>
      <c r="C49" s="3" t="s">
        <v>1992</v>
      </c>
      <c r="D49" s="3">
        <v>3</v>
      </c>
      <c r="E49" s="3"/>
      <c r="F49" s="3" t="s">
        <v>1993</v>
      </c>
    </row>
    <row r="50" spans="1:6" ht="60.75" customHeight="1">
      <c r="A50" s="3" t="s">
        <v>1994</v>
      </c>
      <c r="B50" s="3"/>
      <c r="C50" s="3" t="s">
        <v>1995</v>
      </c>
      <c r="D50" s="3">
        <v>17</v>
      </c>
      <c r="E50" s="3"/>
      <c r="F50" s="3" t="s">
        <v>1996</v>
      </c>
    </row>
    <row r="51" spans="1:6" ht="30.75" customHeight="1">
      <c r="A51" s="3" t="s">
        <v>1997</v>
      </c>
      <c r="B51" s="3"/>
      <c r="C51" s="3" t="s">
        <v>1998</v>
      </c>
      <c r="D51" s="3">
        <v>2</v>
      </c>
      <c r="E51" s="3"/>
      <c r="F51" s="3" t="s">
        <v>1999</v>
      </c>
    </row>
    <row r="52" spans="1:6" ht="30.75" customHeight="1">
      <c r="A52" s="3" t="s">
        <v>2000</v>
      </c>
      <c r="B52" s="3"/>
      <c r="C52" s="3" t="s">
        <v>2001</v>
      </c>
      <c r="D52" s="3">
        <v>3</v>
      </c>
      <c r="E52" s="3"/>
      <c r="F52" s="3" t="s">
        <v>2002</v>
      </c>
    </row>
    <row r="53" spans="1:6" ht="137.25" customHeight="1">
      <c r="A53" s="3" t="s">
        <v>2003</v>
      </c>
      <c r="B53" s="3"/>
      <c r="C53" s="3" t="s">
        <v>2004</v>
      </c>
      <c r="D53" s="3">
        <v>2</v>
      </c>
      <c r="E53" s="3"/>
      <c r="F53" s="3" t="s">
        <v>2005</v>
      </c>
    </row>
    <row r="54" spans="1:6" ht="121.5" customHeight="1">
      <c r="A54" s="3" t="s">
        <v>2006</v>
      </c>
      <c r="B54" s="3"/>
      <c r="C54" s="3" t="s">
        <v>2007</v>
      </c>
      <c r="D54" s="3">
        <v>2</v>
      </c>
      <c r="E54" s="3"/>
      <c r="F54" s="3" t="s">
        <v>2008</v>
      </c>
    </row>
    <row r="55" spans="1:6" ht="30.75" customHeight="1">
      <c r="A55" s="3" t="s">
        <v>2009</v>
      </c>
      <c r="B55" s="3"/>
      <c r="C55" s="3" t="s">
        <v>2010</v>
      </c>
      <c r="D55" s="3">
        <v>2</v>
      </c>
      <c r="E55" s="3"/>
      <c r="F55" s="3" t="s">
        <v>1950</v>
      </c>
    </row>
    <row r="56" spans="1:6" ht="30.75" customHeight="1">
      <c r="A56" s="3" t="s">
        <v>2011</v>
      </c>
      <c r="B56" s="3"/>
      <c r="C56" s="3" t="s">
        <v>1199</v>
      </c>
      <c r="D56" s="3">
        <v>1</v>
      </c>
      <c r="E56" s="3"/>
      <c r="F56" s="3" t="s">
        <v>1950</v>
      </c>
    </row>
    <row r="57" spans="1:6" ht="30.75" customHeight="1">
      <c r="A57" s="3" t="s">
        <v>2012</v>
      </c>
      <c r="B57" s="3"/>
      <c r="C57" s="3" t="s">
        <v>1203</v>
      </c>
      <c r="D57" s="3">
        <v>1</v>
      </c>
      <c r="E57" s="3"/>
      <c r="F57" s="3" t="s">
        <v>1950</v>
      </c>
    </row>
    <row r="58" spans="1:6" ht="30.75" customHeight="1">
      <c r="A58" s="3" t="s">
        <v>2013</v>
      </c>
      <c r="B58" s="3"/>
      <c r="C58" s="3" t="s">
        <v>1208</v>
      </c>
      <c r="D58" s="3">
        <v>1</v>
      </c>
      <c r="E58" s="3"/>
      <c r="F58" s="3" t="s">
        <v>1950</v>
      </c>
    </row>
    <row r="59" spans="1:6" ht="30.75" customHeight="1">
      <c r="A59" s="3" t="s">
        <v>2014</v>
      </c>
      <c r="B59" s="3"/>
      <c r="C59" s="3" t="s">
        <v>1213</v>
      </c>
      <c r="D59" s="3">
        <v>1</v>
      </c>
      <c r="E59" s="3"/>
      <c r="F59" s="3" t="s">
        <v>1950</v>
      </c>
    </row>
    <row r="60" spans="1:6" ht="30.75" customHeight="1">
      <c r="A60" s="3" t="s">
        <v>2015</v>
      </c>
      <c r="B60" s="3"/>
      <c r="C60" s="3" t="s">
        <v>1217</v>
      </c>
      <c r="D60" s="3">
        <v>1</v>
      </c>
      <c r="E60" s="3"/>
      <c r="F60" s="3" t="s">
        <v>1950</v>
      </c>
    </row>
    <row r="61" spans="1:6" ht="30.75" customHeight="1">
      <c r="A61" s="3" t="s">
        <v>2016</v>
      </c>
      <c r="B61" s="3"/>
      <c r="C61" s="3" t="s">
        <v>1221</v>
      </c>
      <c r="D61" s="3">
        <v>1</v>
      </c>
      <c r="E61" s="3"/>
      <c r="F61" s="3" t="s">
        <v>1950</v>
      </c>
    </row>
    <row r="62" spans="1:6" ht="91.5" customHeight="1">
      <c r="A62" s="3" t="s">
        <v>2017</v>
      </c>
      <c r="B62" s="3"/>
      <c r="C62" s="3" t="s">
        <v>2018</v>
      </c>
      <c r="D62" s="3">
        <v>2</v>
      </c>
      <c r="E62" s="3"/>
      <c r="F62" s="3" t="s">
        <v>2019</v>
      </c>
    </row>
    <row r="63" spans="1:6" ht="30.75" customHeight="1">
      <c r="A63" s="3" t="s">
        <v>2020</v>
      </c>
      <c r="B63" s="3"/>
      <c r="C63" s="3" t="s">
        <v>1229</v>
      </c>
      <c r="D63" s="3">
        <v>1</v>
      </c>
      <c r="E63" s="3"/>
      <c r="F63" s="3" t="s">
        <v>1950</v>
      </c>
    </row>
    <row r="64" spans="1:6" ht="30.75" customHeight="1">
      <c r="A64" s="3" t="s">
        <v>2021</v>
      </c>
      <c r="B64" s="3"/>
      <c r="C64" s="3" t="s">
        <v>1234</v>
      </c>
      <c r="D64" s="3">
        <v>1</v>
      </c>
      <c r="E64" s="3"/>
      <c r="F64" s="3" t="s">
        <v>1950</v>
      </c>
    </row>
    <row r="65" spans="1:6" ht="30.75" customHeight="1">
      <c r="A65" s="3" t="s">
        <v>2022</v>
      </c>
      <c r="B65" s="3"/>
      <c r="C65" s="3" t="s">
        <v>1238</v>
      </c>
      <c r="D65" s="3">
        <v>1</v>
      </c>
      <c r="E65" s="3"/>
      <c r="F65" s="3" t="s">
        <v>1950</v>
      </c>
    </row>
    <row r="66" spans="1:6" ht="30.75" customHeight="1">
      <c r="A66" s="3" t="s">
        <v>2023</v>
      </c>
      <c r="B66" s="3"/>
      <c r="C66" s="3" t="s">
        <v>1242</v>
      </c>
      <c r="D66" s="3">
        <v>1</v>
      </c>
      <c r="E66" s="3"/>
      <c r="F66" s="3" t="s">
        <v>1950</v>
      </c>
    </row>
    <row r="67" spans="1:6" ht="30.75" customHeight="1">
      <c r="A67" s="3" t="s">
        <v>2024</v>
      </c>
      <c r="B67" s="3"/>
      <c r="C67" s="3" t="s">
        <v>1246</v>
      </c>
      <c r="D67" s="3">
        <v>1</v>
      </c>
      <c r="E67" s="3"/>
      <c r="F67" s="3" t="s">
        <v>1950</v>
      </c>
    </row>
    <row r="68" spans="1:6" ht="30.75" customHeight="1">
      <c r="A68" s="3" t="s">
        <v>2025</v>
      </c>
      <c r="B68" s="3"/>
      <c r="C68" s="3" t="s">
        <v>1251</v>
      </c>
      <c r="D68" s="3">
        <v>1</v>
      </c>
      <c r="E68" s="3"/>
      <c r="F68" s="3" t="s">
        <v>1950</v>
      </c>
    </row>
    <row r="69" spans="1:6" ht="30.75" customHeight="1">
      <c r="A69" s="3" t="s">
        <v>2026</v>
      </c>
      <c r="B69" s="3"/>
      <c r="C69" s="3" t="s">
        <v>1255</v>
      </c>
      <c r="D69" s="3">
        <v>1</v>
      </c>
      <c r="E69" s="3"/>
      <c r="F69" s="3" t="s">
        <v>1950</v>
      </c>
    </row>
    <row r="70" spans="1:6" ht="30.75" customHeight="1">
      <c r="A70" s="3" t="s">
        <v>2027</v>
      </c>
      <c r="B70" s="3"/>
      <c r="C70" s="3" t="s">
        <v>1334</v>
      </c>
      <c r="D70" s="3">
        <v>1</v>
      </c>
      <c r="E70" s="3"/>
      <c r="F70" s="3" t="s">
        <v>1950</v>
      </c>
    </row>
    <row r="71" spans="1:6" ht="30.75" customHeight="1">
      <c r="A71" s="3" t="s">
        <v>2028</v>
      </c>
      <c r="B71" s="3"/>
      <c r="C71" s="3" t="s">
        <v>1338</v>
      </c>
      <c r="D71" s="3">
        <v>1</v>
      </c>
      <c r="E71" s="3"/>
      <c r="F71" s="3" t="s">
        <v>1950</v>
      </c>
    </row>
    <row r="72" spans="1:6" ht="30.75" customHeight="1">
      <c r="A72" s="3" t="s">
        <v>2029</v>
      </c>
      <c r="B72" s="3"/>
      <c r="C72" s="3" t="s">
        <v>1277</v>
      </c>
      <c r="D72" s="3">
        <v>1</v>
      </c>
      <c r="E72" s="3"/>
      <c r="F72" s="3" t="s">
        <v>1950</v>
      </c>
    </row>
    <row r="73" spans="1:6" ht="30.75" customHeight="1">
      <c r="A73" s="3" t="s">
        <v>2030</v>
      </c>
      <c r="B73" s="3"/>
      <c r="C73" s="3" t="s">
        <v>1342</v>
      </c>
      <c r="D73" s="3">
        <v>1</v>
      </c>
      <c r="E73" s="3"/>
      <c r="F73" s="3" t="s">
        <v>1950</v>
      </c>
    </row>
    <row r="74" spans="1:6" ht="30.75" customHeight="1">
      <c r="A74" s="3" t="s">
        <v>2031</v>
      </c>
      <c r="B74" s="3"/>
      <c r="C74" s="3" t="s">
        <v>2032</v>
      </c>
      <c r="D74" s="3">
        <v>2</v>
      </c>
      <c r="E74" s="3"/>
      <c r="F74" s="3" t="s">
        <v>2033</v>
      </c>
    </row>
    <row r="75" spans="1:6" ht="30.75" customHeight="1">
      <c r="A75" s="3" t="s">
        <v>2034</v>
      </c>
      <c r="B75" s="3"/>
      <c r="C75" s="3" t="s">
        <v>1350</v>
      </c>
      <c r="D75" s="3">
        <v>1</v>
      </c>
      <c r="E75" s="3"/>
      <c r="F75" s="3" t="s">
        <v>1950</v>
      </c>
    </row>
    <row r="76" spans="1:6" ht="30.75" customHeight="1">
      <c r="A76" s="3" t="s">
        <v>2035</v>
      </c>
      <c r="B76" s="3"/>
      <c r="C76" s="3" t="s">
        <v>1354</v>
      </c>
      <c r="D76" s="3">
        <v>1</v>
      </c>
      <c r="E76" s="3"/>
      <c r="F76" s="3" t="s">
        <v>1950</v>
      </c>
    </row>
    <row r="77" spans="1:6" ht="30.75" customHeight="1">
      <c r="A77" s="3" t="s">
        <v>2036</v>
      </c>
      <c r="B77" s="3"/>
      <c r="C77" s="3" t="s">
        <v>2037</v>
      </c>
      <c r="D77" s="3">
        <v>3</v>
      </c>
      <c r="E77" s="3"/>
      <c r="F77" s="3" t="s">
        <v>2038</v>
      </c>
    </row>
    <row r="78" spans="1:6" ht="30.75" customHeight="1">
      <c r="A78" s="3" t="s">
        <v>2039</v>
      </c>
      <c r="B78" s="3"/>
      <c r="C78" s="3" t="s">
        <v>1282</v>
      </c>
      <c r="D78" s="3">
        <v>1</v>
      </c>
      <c r="E78" s="3"/>
      <c r="F78" s="3" t="s">
        <v>1950</v>
      </c>
    </row>
    <row r="79" spans="1:6" ht="30.75" customHeight="1">
      <c r="A79" s="3" t="s">
        <v>2040</v>
      </c>
      <c r="B79" s="3"/>
      <c r="C79" s="3" t="s">
        <v>1286</v>
      </c>
      <c r="D79" s="3">
        <v>1</v>
      </c>
      <c r="E79" s="3"/>
      <c r="F79" s="3" t="s">
        <v>1950</v>
      </c>
    </row>
    <row r="80" spans="1:6" ht="30.75" customHeight="1">
      <c r="A80" s="3" t="s">
        <v>2041</v>
      </c>
      <c r="B80" s="3"/>
      <c r="C80" s="3" t="s">
        <v>1375</v>
      </c>
      <c r="D80" s="3">
        <v>1</v>
      </c>
      <c r="E80" s="3"/>
      <c r="F80" s="3" t="s">
        <v>1950</v>
      </c>
    </row>
    <row r="81" spans="1:6" ht="30.75" customHeight="1">
      <c r="A81" s="3" t="s">
        <v>2042</v>
      </c>
      <c r="B81" s="3"/>
      <c r="C81" s="3" t="s">
        <v>2043</v>
      </c>
      <c r="D81" s="3">
        <v>2</v>
      </c>
      <c r="E81" s="3"/>
      <c r="F81" s="3" t="s">
        <v>2044</v>
      </c>
    </row>
    <row r="82" spans="1:6" ht="30.75" customHeight="1">
      <c r="A82" s="3" t="s">
        <v>2045</v>
      </c>
      <c r="B82" s="3"/>
      <c r="C82" s="3" t="s">
        <v>1380</v>
      </c>
      <c r="D82" s="3">
        <v>1</v>
      </c>
      <c r="E82" s="3"/>
      <c r="F82" s="3" t="s">
        <v>1950</v>
      </c>
    </row>
    <row r="83" spans="1:6" ht="30.75" customHeight="1">
      <c r="A83" s="3" t="s">
        <v>2046</v>
      </c>
      <c r="B83" s="3"/>
      <c r="C83" s="3" t="s">
        <v>2047</v>
      </c>
      <c r="D83" s="3">
        <v>2</v>
      </c>
      <c r="E83" s="3"/>
      <c r="F83" s="3" t="s">
        <v>2048</v>
      </c>
    </row>
    <row r="84" spans="1:6" ht="30.75" customHeight="1">
      <c r="A84" s="3" t="s">
        <v>2049</v>
      </c>
      <c r="B84" s="3"/>
      <c r="C84" s="3" t="s">
        <v>1290</v>
      </c>
      <c r="D84" s="3">
        <v>1</v>
      </c>
      <c r="E84" s="3"/>
      <c r="F84" s="3" t="s">
        <v>1950</v>
      </c>
    </row>
    <row r="85" spans="1:6" ht="30.75" customHeight="1">
      <c r="A85" s="3" t="s">
        <v>2050</v>
      </c>
      <c r="B85" s="3"/>
      <c r="C85" s="3" t="s">
        <v>1294</v>
      </c>
      <c r="D85" s="3">
        <v>1</v>
      </c>
      <c r="E85" s="3"/>
      <c r="F85" s="3" t="s">
        <v>1950</v>
      </c>
    </row>
    <row r="86" spans="1:6" ht="30.75" customHeight="1">
      <c r="A86" s="3" t="s">
        <v>2051</v>
      </c>
      <c r="B86" s="3"/>
      <c r="C86" s="3" t="s">
        <v>1297</v>
      </c>
      <c r="D86" s="3">
        <v>1</v>
      </c>
      <c r="E86" s="3"/>
      <c r="F86" s="3" t="s">
        <v>1950</v>
      </c>
    </row>
    <row r="87" spans="1:6" ht="30.75" customHeight="1">
      <c r="A87" s="3" t="s">
        <v>2052</v>
      </c>
      <c r="B87" s="3"/>
      <c r="C87" s="3" t="s">
        <v>1300</v>
      </c>
      <c r="D87" s="3">
        <v>1</v>
      </c>
      <c r="E87" s="3"/>
      <c r="F87" s="3" t="s">
        <v>1950</v>
      </c>
    </row>
    <row r="88" spans="1:6" ht="30.75" customHeight="1">
      <c r="A88" s="3" t="s">
        <v>2053</v>
      </c>
      <c r="B88" s="3"/>
      <c r="C88" s="3" t="s">
        <v>1303</v>
      </c>
      <c r="D88" s="3">
        <v>1</v>
      </c>
      <c r="E88" s="3"/>
      <c r="F88" s="3" t="s">
        <v>1950</v>
      </c>
    </row>
    <row r="89" spans="1:6" ht="30.75" customHeight="1">
      <c r="A89" s="3" t="s">
        <v>2054</v>
      </c>
      <c r="B89" s="3"/>
      <c r="C89" s="3" t="s">
        <v>1306</v>
      </c>
      <c r="D89" s="3">
        <v>1</v>
      </c>
      <c r="E89" s="3"/>
      <c r="F89" s="3" t="s">
        <v>1950</v>
      </c>
    </row>
    <row r="90" spans="1:6" ht="30.75" customHeight="1">
      <c r="A90" s="3" t="s">
        <v>2055</v>
      </c>
      <c r="B90" s="3"/>
      <c r="C90" s="3" t="s">
        <v>2056</v>
      </c>
      <c r="D90" s="3">
        <v>2</v>
      </c>
      <c r="E90" s="3"/>
      <c r="F90" s="3" t="s">
        <v>2057</v>
      </c>
    </row>
    <row r="91" spans="1:6" ht="30.75" customHeight="1">
      <c r="A91" s="3" t="s">
        <v>2058</v>
      </c>
      <c r="B91" s="3"/>
      <c r="C91" s="3" t="s">
        <v>1362</v>
      </c>
      <c r="D91" s="3">
        <v>1</v>
      </c>
      <c r="E91" s="3"/>
      <c r="F91" s="3" t="s">
        <v>1950</v>
      </c>
    </row>
    <row r="92" spans="1:6" ht="30.75" customHeight="1">
      <c r="A92" s="3" t="s">
        <v>2059</v>
      </c>
      <c r="B92" s="3"/>
      <c r="C92" s="3" t="s">
        <v>1312</v>
      </c>
      <c r="D92" s="3">
        <v>1</v>
      </c>
      <c r="E92" s="3"/>
      <c r="F92" s="3" t="s">
        <v>1950</v>
      </c>
    </row>
    <row r="93" spans="1:6" ht="30.75" customHeight="1">
      <c r="A93" s="3" t="s">
        <v>2060</v>
      </c>
      <c r="B93" s="3"/>
      <c r="C93" s="3" t="s">
        <v>1315</v>
      </c>
      <c r="D93" s="3">
        <v>1</v>
      </c>
      <c r="E93" s="3"/>
      <c r="F93" s="3" t="s">
        <v>1950</v>
      </c>
    </row>
    <row r="94" spans="1:6" ht="30.75" customHeight="1">
      <c r="A94" s="3" t="s">
        <v>2061</v>
      </c>
      <c r="B94" s="3"/>
      <c r="C94" s="3" t="s">
        <v>1318</v>
      </c>
      <c r="D94" s="3">
        <v>1</v>
      </c>
      <c r="E94" s="3"/>
      <c r="F94" s="3" t="s">
        <v>1950</v>
      </c>
    </row>
    <row r="95" spans="1:6" ht="30.75" customHeight="1">
      <c r="A95" s="3" t="s">
        <v>2062</v>
      </c>
      <c r="B95" s="3"/>
      <c r="C95" s="3" t="s">
        <v>1321</v>
      </c>
      <c r="D95" s="3">
        <v>1</v>
      </c>
      <c r="E95" s="3"/>
      <c r="F95" s="3" t="s">
        <v>1950</v>
      </c>
    </row>
    <row r="96" spans="1:6" ht="30.75" customHeight="1">
      <c r="A96" s="3" t="s">
        <v>2063</v>
      </c>
      <c r="B96" s="3"/>
      <c r="C96" s="3" t="s">
        <v>1324</v>
      </c>
      <c r="D96" s="3">
        <v>1</v>
      </c>
      <c r="E96" s="3"/>
      <c r="F96" s="3" t="s">
        <v>1950</v>
      </c>
    </row>
    <row r="97" spans="1:6" ht="30.75" customHeight="1">
      <c r="A97" s="3" t="s">
        <v>2064</v>
      </c>
      <c r="B97" s="3"/>
      <c r="C97" s="3" t="s">
        <v>2065</v>
      </c>
      <c r="D97" s="3">
        <v>2</v>
      </c>
      <c r="E97" s="3"/>
      <c r="F97" s="3" t="s">
        <v>2066</v>
      </c>
    </row>
    <row r="98" spans="1:6" ht="30.75" customHeight="1">
      <c r="A98" s="3" t="s">
        <v>2067</v>
      </c>
      <c r="B98" s="3"/>
      <c r="C98" s="3" t="s">
        <v>2068</v>
      </c>
      <c r="D98" s="3">
        <v>2</v>
      </c>
      <c r="E98" s="3"/>
      <c r="F98" s="3" t="s">
        <v>2069</v>
      </c>
    </row>
    <row r="99" spans="1:6" ht="30.75" customHeight="1">
      <c r="A99" s="3" t="s">
        <v>2070</v>
      </c>
      <c r="B99" s="3"/>
      <c r="C99" s="3" t="s">
        <v>2071</v>
      </c>
      <c r="D99" s="3">
        <v>2</v>
      </c>
      <c r="E99" s="3"/>
      <c r="F99" s="3" t="s">
        <v>2072</v>
      </c>
    </row>
    <row r="100" spans="1:6" ht="91.5" customHeight="1">
      <c r="A100" s="3" t="s">
        <v>1884</v>
      </c>
      <c r="B100" s="3"/>
      <c r="C100" s="3" t="s">
        <v>1389</v>
      </c>
      <c r="D100" s="3">
        <v>1</v>
      </c>
      <c r="E100" s="3"/>
      <c r="F100" s="3" t="s">
        <v>2073</v>
      </c>
    </row>
    <row r="101" spans="1:6" ht="152.25" customHeight="1">
      <c r="A101" s="3" t="s">
        <v>2074</v>
      </c>
      <c r="B101" s="3" t="s">
        <v>2075</v>
      </c>
      <c r="C101" s="3" t="s">
        <v>2076</v>
      </c>
      <c r="D101" s="3">
        <v>11</v>
      </c>
      <c r="E101" s="3" t="s">
        <v>2077</v>
      </c>
      <c r="F101" s="3" t="s">
        <v>2078</v>
      </c>
    </row>
    <row r="102" spans="1:6" ht="137.25" customHeight="1">
      <c r="A102" s="3" t="s">
        <v>2079</v>
      </c>
      <c r="B102" s="3" t="s">
        <v>2080</v>
      </c>
      <c r="C102" s="3" t="s">
        <v>2081</v>
      </c>
      <c r="D102" s="3">
        <v>4</v>
      </c>
      <c r="E102" s="3" t="s">
        <v>2082</v>
      </c>
      <c r="F102" s="3" t="s">
        <v>2083</v>
      </c>
    </row>
    <row r="103" spans="1:6" ht="167.25" customHeight="1">
      <c r="A103" s="3" t="s">
        <v>2084</v>
      </c>
      <c r="B103" s="3" t="s">
        <v>2085</v>
      </c>
      <c r="C103" s="3" t="s">
        <v>2086</v>
      </c>
      <c r="D103" s="3">
        <v>2</v>
      </c>
      <c r="E103" s="3" t="s">
        <v>2087</v>
      </c>
      <c r="F103" s="3" t="s">
        <v>2088</v>
      </c>
    </row>
    <row r="104" spans="1:6" ht="137.25" customHeight="1">
      <c r="A104" s="3" t="s">
        <v>2089</v>
      </c>
      <c r="B104" s="3" t="s">
        <v>2090</v>
      </c>
      <c r="C104" s="3" t="s">
        <v>2091</v>
      </c>
      <c r="D104" s="3">
        <v>6</v>
      </c>
      <c r="E104" s="3" t="s">
        <v>2092</v>
      </c>
      <c r="F104" s="3" t="s">
        <v>2093</v>
      </c>
    </row>
    <row r="105" spans="1:6" ht="229.5" customHeight="1">
      <c r="A105" s="3" t="s">
        <v>2094</v>
      </c>
      <c r="B105" s="3" t="s">
        <v>2095</v>
      </c>
      <c r="C105" s="3" t="s">
        <v>2096</v>
      </c>
      <c r="D105" s="3">
        <v>11</v>
      </c>
      <c r="E105" s="3" t="s">
        <v>2097</v>
      </c>
      <c r="F105" s="3" t="s">
        <v>2098</v>
      </c>
    </row>
    <row r="106" spans="1:6" ht="290.25" customHeight="1">
      <c r="A106" s="3" t="s">
        <v>2099</v>
      </c>
      <c r="B106" s="3" t="s">
        <v>2100</v>
      </c>
      <c r="C106" s="3" t="s">
        <v>2101</v>
      </c>
      <c r="D106" s="3">
        <v>8</v>
      </c>
      <c r="E106" s="3" t="s">
        <v>2102</v>
      </c>
      <c r="F106" s="3" t="s">
        <v>2103</v>
      </c>
    </row>
    <row r="107" spans="1:6">
      <c r="A107" s="4" t="s">
        <v>2104</v>
      </c>
      <c r="B107" s="4" t="s">
        <v>2105</v>
      </c>
      <c r="C107" s="4" t="s">
        <v>2106</v>
      </c>
      <c r="D107" s="4">
        <v>2</v>
      </c>
      <c r="E107" s="4" t="s">
        <v>945</v>
      </c>
      <c r="F107" s="4" t="s">
        <v>2107</v>
      </c>
    </row>
    <row r="108" spans="1:6">
      <c r="A108" s="3" t="s">
        <v>2108</v>
      </c>
      <c r="B108" s="3" t="s">
        <v>2109</v>
      </c>
      <c r="C108" s="3" t="s">
        <v>2110</v>
      </c>
      <c r="D108" s="3">
        <v>33</v>
      </c>
      <c r="E108" s="3" t="s">
        <v>945</v>
      </c>
      <c r="F108" s="3" t="s">
        <v>2111</v>
      </c>
    </row>
    <row r="109" spans="1:6" ht="45.75" customHeight="1">
      <c r="A109" s="3" t="s">
        <v>2112</v>
      </c>
      <c r="B109" s="3" t="s">
        <v>2113</v>
      </c>
      <c r="C109" s="3" t="s">
        <v>2114</v>
      </c>
      <c r="D109" s="3">
        <v>49</v>
      </c>
      <c r="E109" s="3" t="s">
        <v>945</v>
      </c>
      <c r="F109" s="3" t="s">
        <v>2115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
  <sheetViews>
    <sheetView workbookViewId="0">
      <selection activeCell="M16" sqref="M16"/>
    </sheetView>
  </sheetViews>
  <sheetFormatPr defaultRowHeight="15"/>
  <sheetData>
    <row r="1" spans="1:6">
      <c r="A1" t="s">
        <v>2116</v>
      </c>
      <c r="B1" t="s">
        <v>2117</v>
      </c>
      <c r="C1" t="s">
        <v>2118</v>
      </c>
      <c r="D1" t="s">
        <v>935</v>
      </c>
      <c r="E1" t="s">
        <v>50</v>
      </c>
      <c r="F1"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2026-08-11T04:45:13Z</dcterms:created>
  <dcterms:modified xsi:type="dcterms:W3CDTF">2026-09-15T02:27:49Z</dcterms:modified>
  <cp:category/>
  <cp:contentStatus/>
</cp:coreProperties>
</file>